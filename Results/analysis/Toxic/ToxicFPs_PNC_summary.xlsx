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FPs_all" sheetId="1" state="visible" r:id="rId1"/>
    <sheet xmlns:r="http://schemas.openxmlformats.org/officeDocument/2006/relationships" name="mmFPs_all" sheetId="2" state="visible" r:id="rId2"/>
    <sheet xmlns:r="http://schemas.openxmlformats.org/officeDocument/2006/relationships" name="Total_all" sheetId="3" state="visible" r:id="rId3"/>
    <sheet xmlns:r="http://schemas.openxmlformats.org/officeDocument/2006/relationships" name="0.1FPs_all" sheetId="4" state="visible" r:id="rId4"/>
    <sheet xmlns:r="http://schemas.openxmlformats.org/officeDocument/2006/relationships" name="0.1-0.4FPs_all" sheetId="5" state="visible" r:id="rId5"/>
    <sheet xmlns:r="http://schemas.openxmlformats.org/officeDocument/2006/relationships" name="0.4-1FPs_all" sheetId="6" state="visible" r:id="rId6"/>
    <sheet xmlns:r="http://schemas.openxmlformats.org/officeDocument/2006/relationships" name="mainFPs_all" sheetId="7" state="visible" r:id="rId7"/>
    <sheet xmlns:r="http://schemas.openxmlformats.org/officeDocument/2006/relationships" name="smFPs_toxic" sheetId="8" state="visible" r:id="rId8"/>
    <sheet xmlns:r="http://schemas.openxmlformats.org/officeDocument/2006/relationships" name="mmFPs_toxic" sheetId="9" state="visible" r:id="rId9"/>
    <sheet xmlns:r="http://schemas.openxmlformats.org/officeDocument/2006/relationships" name="Total_toxic" sheetId="10" state="visible" r:id="rId10"/>
    <sheet xmlns:r="http://schemas.openxmlformats.org/officeDocument/2006/relationships" name="0.1FPs_toxic" sheetId="11" state="visible" r:id="rId11"/>
    <sheet xmlns:r="http://schemas.openxmlformats.org/officeDocument/2006/relationships" name="0.1-0.4FPs_toxic" sheetId="12" state="visible" r:id="rId12"/>
    <sheet xmlns:r="http://schemas.openxmlformats.org/officeDocument/2006/relationships" name="0.4-1FPs_toxic" sheetId="13" state="visible" r:id="rId13"/>
    <sheet xmlns:r="http://schemas.openxmlformats.org/officeDocument/2006/relationships" name="mainFPs_toxic" sheetId="14" state="visible" r:id="rId1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TE</t>
        </is>
      </c>
      <c r="C1" t="inlineStr">
        <is>
          <t>Dilutionfactor</t>
        </is>
      </c>
      <c r="D1" t="inlineStr">
        <is>
          <t>TotalsmFPs</t>
        </is>
      </c>
      <c r="E1" t="inlineStr">
        <is>
          <t>23Na</t>
        </is>
      </c>
      <c r="F1" t="inlineStr">
        <is>
          <t>24Mg</t>
        </is>
      </c>
      <c r="G1" t="inlineStr">
        <is>
          <t>27Al</t>
        </is>
      </c>
      <c r="H1" t="inlineStr">
        <is>
          <t>28Si</t>
        </is>
      </c>
      <c r="I1" t="inlineStr">
        <is>
          <t>39K</t>
        </is>
      </c>
      <c r="J1" t="inlineStr">
        <is>
          <t>44Ca</t>
        </is>
      </c>
      <c r="K1" t="inlineStr">
        <is>
          <t>48Ti</t>
        </is>
      </c>
      <c r="L1" t="inlineStr">
        <is>
          <t>51V</t>
        </is>
      </c>
      <c r="M1" t="inlineStr">
        <is>
          <t>52Cr</t>
        </is>
      </c>
      <c r="N1" t="inlineStr">
        <is>
          <t>54Fe</t>
        </is>
      </c>
      <c r="O1" t="inlineStr">
        <is>
          <t>55Mn</t>
        </is>
      </c>
      <c r="P1" t="inlineStr">
        <is>
          <t>59Co</t>
        </is>
      </c>
      <c r="Q1" t="inlineStr">
        <is>
          <t>60Ni</t>
        </is>
      </c>
      <c r="R1" t="inlineStr">
        <is>
          <t>63Cu</t>
        </is>
      </c>
      <c r="S1" t="inlineStr">
        <is>
          <t>66Zn</t>
        </is>
      </c>
      <c r="T1" t="inlineStr">
        <is>
          <t>75As</t>
        </is>
      </c>
      <c r="U1" t="inlineStr">
        <is>
          <t>88Sr</t>
        </is>
      </c>
      <c r="V1" t="inlineStr">
        <is>
          <t>90Zr</t>
        </is>
      </c>
      <c r="W1" t="inlineStr">
        <is>
          <t>93Nb</t>
        </is>
      </c>
      <c r="X1" t="inlineStr">
        <is>
          <t>98Mo</t>
        </is>
      </c>
      <c r="Y1" t="inlineStr">
        <is>
          <t>111Cd</t>
        </is>
      </c>
      <c r="Z1" t="inlineStr">
        <is>
          <t>120Sn</t>
        </is>
      </c>
      <c r="AA1" t="inlineStr">
        <is>
          <t>121Sb</t>
        </is>
      </c>
      <c r="AB1" t="inlineStr">
        <is>
          <t>138Ba</t>
        </is>
      </c>
      <c r="AC1" t="inlineStr">
        <is>
          <t>139La</t>
        </is>
      </c>
      <c r="AD1" t="inlineStr">
        <is>
          <t>140Ce</t>
        </is>
      </c>
      <c r="AE1" t="inlineStr">
        <is>
          <t>184W</t>
        </is>
      </c>
      <c r="AF1" t="inlineStr">
        <is>
          <t>205Tl</t>
        </is>
      </c>
      <c r="AG1" t="inlineStr">
        <is>
          <t>208Pb</t>
        </is>
      </c>
    </row>
    <row r="2">
      <c r="A2" t="inlineStr">
        <is>
          <t>CFPP2</t>
        </is>
      </c>
      <c r="B2" t="n">
        <v>0.4</v>
      </c>
      <c r="C2" t="n">
        <v>1000</v>
      </c>
      <c r="D2" t="n">
        <v>122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</v>
      </c>
      <c r="M2" t="n">
        <v>33</v>
      </c>
      <c r="N2" t="n">
        <v>0</v>
      </c>
      <c r="O2" t="n">
        <v>22</v>
      </c>
      <c r="P2" t="n">
        <v>6</v>
      </c>
      <c r="Q2" t="n">
        <v>21</v>
      </c>
      <c r="R2" t="n">
        <v>2</v>
      </c>
      <c r="S2" t="n">
        <v>10</v>
      </c>
      <c r="T2" t="n">
        <v>2</v>
      </c>
      <c r="U2" t="n">
        <v>0</v>
      </c>
      <c r="V2" t="n">
        <v>0</v>
      </c>
      <c r="W2" t="n">
        <v>0</v>
      </c>
      <c r="X2" t="n">
        <v>0</v>
      </c>
      <c r="Y2" t="n">
        <v>2</v>
      </c>
      <c r="Z2" t="n">
        <v>2</v>
      </c>
      <c r="AA2" t="n">
        <v>2</v>
      </c>
      <c r="AB2" t="n">
        <v>3</v>
      </c>
      <c r="AC2" t="n">
        <v>0</v>
      </c>
      <c r="AD2" t="n">
        <v>0</v>
      </c>
      <c r="AE2" t="n">
        <v>0</v>
      </c>
      <c r="AF2" t="n">
        <v>3</v>
      </c>
      <c r="AG2" t="n">
        <v>7</v>
      </c>
    </row>
    <row r="3">
      <c r="A3" t="inlineStr">
        <is>
          <t>COP11</t>
        </is>
      </c>
      <c r="B3" t="n">
        <v>0.4</v>
      </c>
      <c r="C3" t="n">
        <v>1000</v>
      </c>
      <c r="D3" t="n">
        <v>493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</v>
      </c>
      <c r="M3" t="n">
        <v>16</v>
      </c>
      <c r="N3" t="n">
        <v>0</v>
      </c>
      <c r="O3" t="n">
        <v>26</v>
      </c>
      <c r="P3" t="n">
        <v>1</v>
      </c>
      <c r="Q3" t="n">
        <v>8</v>
      </c>
      <c r="R3" t="n">
        <v>2</v>
      </c>
      <c r="S3" t="n">
        <v>7</v>
      </c>
      <c r="T3" t="n">
        <v>2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7</v>
      </c>
      <c r="AA3" t="n">
        <v>2</v>
      </c>
      <c r="AB3" t="n">
        <v>2</v>
      </c>
      <c r="AC3" t="n">
        <v>0</v>
      </c>
      <c r="AD3" t="n">
        <v>0</v>
      </c>
      <c r="AE3" t="n">
        <v>0</v>
      </c>
      <c r="AF3" t="n">
        <v>2</v>
      </c>
      <c r="AG3" t="n">
        <v>415</v>
      </c>
    </row>
    <row r="4">
      <c r="A4" t="inlineStr">
        <is>
          <t>EAF10</t>
        </is>
      </c>
      <c r="B4" t="n">
        <v>0.4</v>
      </c>
      <c r="C4" t="n">
        <v>5000</v>
      </c>
      <c r="D4" t="n">
        <v>261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n">
        <v>18</v>
      </c>
      <c r="N4" t="n">
        <v>0</v>
      </c>
      <c r="O4" t="n">
        <v>109</v>
      </c>
      <c r="P4" t="n">
        <v>1</v>
      </c>
      <c r="Q4" t="n">
        <v>37</v>
      </c>
      <c r="R4" t="n">
        <v>3</v>
      </c>
      <c r="S4" t="n">
        <v>65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</v>
      </c>
      <c r="Z4" t="n">
        <v>4</v>
      </c>
      <c r="AA4" t="n">
        <v>1</v>
      </c>
      <c r="AB4" t="n">
        <v>4</v>
      </c>
      <c r="AC4" t="n">
        <v>0</v>
      </c>
      <c r="AD4" t="n">
        <v>0</v>
      </c>
      <c r="AE4" t="n">
        <v>0</v>
      </c>
      <c r="AF4" t="n">
        <v>2</v>
      </c>
      <c r="AG4" t="n">
        <v>12</v>
      </c>
    </row>
    <row r="6">
      <c r="A6" t="inlineStr">
        <is>
          <t>PNCs(particles/mg)</t>
        </is>
      </c>
    </row>
    <row r="8">
      <c r="A8" t="inlineStr">
        <is>
          <t>sampleID</t>
        </is>
      </c>
      <c r="B8" t="inlineStr">
        <is>
          <t>TE</t>
        </is>
      </c>
      <c r="C8" t="inlineStr">
        <is>
          <t>Dilutionfactor</t>
        </is>
      </c>
      <c r="D8" t="inlineStr">
        <is>
          <t>TotalsmFPs</t>
        </is>
      </c>
      <c r="E8" t="inlineStr">
        <is>
          <t>23Na</t>
        </is>
      </c>
      <c r="F8" t="inlineStr">
        <is>
          <t>24Mg</t>
        </is>
      </c>
      <c r="G8" t="inlineStr">
        <is>
          <t>27Al</t>
        </is>
      </c>
      <c r="H8" t="inlineStr">
        <is>
          <t>28Si</t>
        </is>
      </c>
      <c r="I8" t="inlineStr">
        <is>
          <t>39K</t>
        </is>
      </c>
      <c r="J8" t="inlineStr">
        <is>
          <t>44Ca</t>
        </is>
      </c>
      <c r="K8" t="inlineStr">
        <is>
          <t>48Ti</t>
        </is>
      </c>
      <c r="L8" t="inlineStr">
        <is>
          <t>51V</t>
        </is>
      </c>
      <c r="M8" t="inlineStr">
        <is>
          <t>52Cr</t>
        </is>
      </c>
      <c r="N8" t="inlineStr">
        <is>
          <t>54Fe</t>
        </is>
      </c>
      <c r="O8" t="inlineStr">
        <is>
          <t>55Mn</t>
        </is>
      </c>
      <c r="P8" t="inlineStr">
        <is>
          <t>59Co</t>
        </is>
      </c>
      <c r="Q8" t="inlineStr">
        <is>
          <t>60Ni</t>
        </is>
      </c>
      <c r="R8" t="inlineStr">
        <is>
          <t>63Cu</t>
        </is>
      </c>
      <c r="S8" t="inlineStr">
        <is>
          <t>66Zn</t>
        </is>
      </c>
      <c r="T8" t="inlineStr">
        <is>
          <t>75As</t>
        </is>
      </c>
      <c r="U8" t="inlineStr">
        <is>
          <t>88Sr</t>
        </is>
      </c>
      <c r="V8" t="inlineStr">
        <is>
          <t>90Zr</t>
        </is>
      </c>
      <c r="W8" t="inlineStr">
        <is>
          <t>93Nb</t>
        </is>
      </c>
      <c r="X8" t="inlineStr">
        <is>
          <t>98Mo</t>
        </is>
      </c>
      <c r="Y8" t="inlineStr">
        <is>
          <t>111Cd</t>
        </is>
      </c>
      <c r="Z8" t="inlineStr">
        <is>
          <t>120Sn</t>
        </is>
      </c>
      <c r="AA8" t="inlineStr">
        <is>
          <t>121Sb</t>
        </is>
      </c>
      <c r="AB8" t="inlineStr">
        <is>
          <t>138Ba</t>
        </is>
      </c>
      <c r="AC8" t="inlineStr">
        <is>
          <t>139La</t>
        </is>
      </c>
      <c r="AD8" t="inlineStr">
        <is>
          <t>140Ce</t>
        </is>
      </c>
      <c r="AE8" t="inlineStr">
        <is>
          <t>184W</t>
        </is>
      </c>
      <c r="AF8" t="inlineStr">
        <is>
          <t>205Tl</t>
        </is>
      </c>
      <c r="AG8" t="inlineStr">
        <is>
          <t>208Pb</t>
        </is>
      </c>
    </row>
    <row r="9">
      <c r="A9" t="inlineStr">
        <is>
          <t>CFPP2</t>
        </is>
      </c>
      <c r="B9" t="n">
        <v>0.4</v>
      </c>
      <c r="C9" t="n">
        <v>1000</v>
      </c>
      <c r="D9">
        <f>D2*$C9*60*50/($B9*0.02*150*20)</f>
        <v/>
      </c>
      <c r="E9">
        <f>E2*$C9*60*50/($B9*0.02*150*20)</f>
        <v/>
      </c>
      <c r="F9">
        <f>F2*$C9*60*50/($B9*0.02*150*20)</f>
        <v/>
      </c>
      <c r="G9">
        <f>G2*$C9*60*50/($B9*0.02*150*20)</f>
        <v/>
      </c>
      <c r="H9">
        <f>H2*$C9*60*50/($B9*0.02*150*20)</f>
        <v/>
      </c>
      <c r="I9">
        <f>I2*$C9*60*50/($B9*0.02*150*20)</f>
        <v/>
      </c>
      <c r="J9">
        <f>J2*$C9*60*50/($B9*0.02*150*20)</f>
        <v/>
      </c>
      <c r="K9">
        <f>K2*$C9*60*50/($B9*0.02*150*20)</f>
        <v/>
      </c>
      <c r="L9">
        <f>L2*$C9*60*50/($B9*0.02*150*20)</f>
        <v/>
      </c>
      <c r="M9">
        <f>M2*$C9*60*50/($B9*0.02*150*20)</f>
        <v/>
      </c>
      <c r="N9">
        <f>N2*$C9*60*50/($B9*0.02*150*20)</f>
        <v/>
      </c>
      <c r="O9">
        <f>O2*$C9*60*50/($B9*0.02*150*20)</f>
        <v/>
      </c>
      <c r="P9">
        <f>P2*$C9*60*50/($B9*0.02*150*20)</f>
        <v/>
      </c>
      <c r="Q9">
        <f>Q2*$C9*60*50/($B9*0.02*150*20)</f>
        <v/>
      </c>
      <c r="R9">
        <f>R2*$C9*60*50/($B9*0.02*150*20)</f>
        <v/>
      </c>
      <c r="S9">
        <f>S2*$C9*60*50/($B9*0.02*150*20)</f>
        <v/>
      </c>
      <c r="T9">
        <f>T2*$C9*60*50/($B9*0.02*150*20)</f>
        <v/>
      </c>
      <c r="U9">
        <f>U2*$C9*60*50/($B9*0.02*150*20)</f>
        <v/>
      </c>
      <c r="V9">
        <f>V2*$C9*60*50/($B9*0.02*150*20)</f>
        <v/>
      </c>
      <c r="W9">
        <f>W2*$C9*60*50/($B9*0.02*150*20)</f>
        <v/>
      </c>
      <c r="X9">
        <f>X2*$C9*60*50/($B9*0.02*150*20)</f>
        <v/>
      </c>
      <c r="Y9">
        <f>Y2*$C9*60*50/($B9*0.02*150*20)</f>
        <v/>
      </c>
      <c r="Z9">
        <f>Z2*$C9*60*50/($B9*0.02*150*20)</f>
        <v/>
      </c>
      <c r="AA9">
        <f>AA2*$C9*60*50/($B9*0.02*150*20)</f>
        <v/>
      </c>
      <c r="AB9">
        <f>AB2*$C9*60*50/($B9*0.02*150*20)</f>
        <v/>
      </c>
      <c r="AC9">
        <f>AC2*$C9*60*50/($B9*0.02*150*20)</f>
        <v/>
      </c>
      <c r="AD9">
        <f>AD2*$C9*60*50/($B9*0.02*150*20)</f>
        <v/>
      </c>
      <c r="AE9">
        <f>AE2*$C9*60*50/($B9*0.02*150*20)</f>
        <v/>
      </c>
      <c r="AF9">
        <f>AF2*$C9*60*50/($B9*0.02*150*20)</f>
        <v/>
      </c>
      <c r="AG9">
        <f>AG2*$C9*60*50/($B9*0.02*150*20)</f>
        <v/>
      </c>
    </row>
    <row r="10">
      <c r="A10" t="inlineStr">
        <is>
          <t>COP11</t>
        </is>
      </c>
      <c r="B10" t="n">
        <v>0.4</v>
      </c>
      <c r="C10" t="n">
        <v>1000</v>
      </c>
      <c r="D10">
        <f>D3*$C10*60*50/($B10*0.02*150*20)</f>
        <v/>
      </c>
      <c r="E10">
        <f>E3*$C10*60*50/($B10*0.02*150*20)</f>
        <v/>
      </c>
      <c r="F10">
        <f>F3*$C10*60*50/($B10*0.02*150*20)</f>
        <v/>
      </c>
      <c r="G10">
        <f>G3*$C10*60*50/($B10*0.02*150*20)</f>
        <v/>
      </c>
      <c r="H10">
        <f>H3*$C10*60*50/($B10*0.02*150*20)</f>
        <v/>
      </c>
      <c r="I10">
        <f>I3*$C10*60*50/($B10*0.02*150*20)</f>
        <v/>
      </c>
      <c r="J10">
        <f>J3*$C10*60*50/($B10*0.02*150*20)</f>
        <v/>
      </c>
      <c r="K10">
        <f>K3*$C10*60*50/($B10*0.02*150*20)</f>
        <v/>
      </c>
      <c r="L10">
        <f>L3*$C10*60*50/($B10*0.02*150*20)</f>
        <v/>
      </c>
      <c r="M10">
        <f>M3*$C10*60*50/($B10*0.02*150*20)</f>
        <v/>
      </c>
      <c r="N10">
        <f>N3*$C10*60*50/($B10*0.02*150*20)</f>
        <v/>
      </c>
      <c r="O10">
        <f>O3*$C10*60*50/($B10*0.02*150*20)</f>
        <v/>
      </c>
      <c r="P10">
        <f>P3*$C10*60*50/($B10*0.02*150*20)</f>
        <v/>
      </c>
      <c r="Q10">
        <f>Q3*$C10*60*50/($B10*0.02*150*20)</f>
        <v/>
      </c>
      <c r="R10">
        <f>R3*$C10*60*50/($B10*0.02*150*20)</f>
        <v/>
      </c>
      <c r="S10">
        <f>S3*$C10*60*50/($B10*0.02*150*20)</f>
        <v/>
      </c>
      <c r="T10">
        <f>T3*$C10*60*50/($B10*0.02*150*20)</f>
        <v/>
      </c>
      <c r="U10">
        <f>U3*$C10*60*50/($B10*0.02*150*20)</f>
        <v/>
      </c>
      <c r="V10">
        <f>V3*$C10*60*50/($B10*0.02*150*20)</f>
        <v/>
      </c>
      <c r="W10">
        <f>W3*$C10*60*50/($B10*0.02*150*20)</f>
        <v/>
      </c>
      <c r="X10">
        <f>X3*$C10*60*50/($B10*0.02*150*20)</f>
        <v/>
      </c>
      <c r="Y10">
        <f>Y3*$C10*60*50/($B10*0.02*150*20)</f>
        <v/>
      </c>
      <c r="Z10">
        <f>Z3*$C10*60*50/($B10*0.02*150*20)</f>
        <v/>
      </c>
      <c r="AA10">
        <f>AA3*$C10*60*50/($B10*0.02*150*20)</f>
        <v/>
      </c>
      <c r="AB10">
        <f>AB3*$C10*60*50/($B10*0.02*150*20)</f>
        <v/>
      </c>
      <c r="AC10">
        <f>AC3*$C10*60*50/($B10*0.02*150*20)</f>
        <v/>
      </c>
      <c r="AD10">
        <f>AD3*$C10*60*50/($B10*0.02*150*20)</f>
        <v/>
      </c>
      <c r="AE10">
        <f>AE3*$C10*60*50/($B10*0.02*150*20)</f>
        <v/>
      </c>
      <c r="AF10">
        <f>AF3*$C10*60*50/($B10*0.02*150*20)</f>
        <v/>
      </c>
      <c r="AG10">
        <f>AG3*$C10*60*50/($B10*0.02*150*20)</f>
        <v/>
      </c>
    </row>
    <row r="11">
      <c r="A11" t="inlineStr">
        <is>
          <t>EAF10</t>
        </is>
      </c>
      <c r="B11" t="n">
        <v>0.4</v>
      </c>
      <c r="C11" t="n">
        <v>5000</v>
      </c>
      <c r="D11">
        <f>D4*$C11*60*50/($B11*0.02*150*20)</f>
        <v/>
      </c>
      <c r="E11">
        <f>E4*$C11*60*50/($B11*0.02*150*20)</f>
        <v/>
      </c>
      <c r="F11">
        <f>F4*$C11*60*50/($B11*0.02*150*20)</f>
        <v/>
      </c>
      <c r="G11">
        <f>G4*$C11*60*50/($B11*0.02*150*20)</f>
        <v/>
      </c>
      <c r="H11">
        <f>H4*$C11*60*50/($B11*0.02*150*20)</f>
        <v/>
      </c>
      <c r="I11">
        <f>I4*$C11*60*50/($B11*0.02*150*20)</f>
        <v/>
      </c>
      <c r="J11">
        <f>J4*$C11*60*50/($B11*0.02*150*20)</f>
        <v/>
      </c>
      <c r="K11">
        <f>K4*$C11*60*50/($B11*0.02*150*20)</f>
        <v/>
      </c>
      <c r="L11">
        <f>L4*$C11*60*50/($B11*0.02*150*20)</f>
        <v/>
      </c>
      <c r="M11">
        <f>M4*$C11*60*50/($B11*0.02*150*20)</f>
        <v/>
      </c>
      <c r="N11">
        <f>N4*$C11*60*50/($B11*0.02*150*20)</f>
        <v/>
      </c>
      <c r="O11">
        <f>O4*$C11*60*50/($B11*0.02*150*20)</f>
        <v/>
      </c>
      <c r="P11">
        <f>P4*$C11*60*50/($B11*0.02*150*20)</f>
        <v/>
      </c>
      <c r="Q11">
        <f>Q4*$C11*60*50/($B11*0.02*150*20)</f>
        <v/>
      </c>
      <c r="R11">
        <f>R4*$C11*60*50/($B11*0.02*150*20)</f>
        <v/>
      </c>
      <c r="S11">
        <f>S4*$C11*60*50/($B11*0.02*150*20)</f>
        <v/>
      </c>
      <c r="T11">
        <f>T4*$C11*60*50/($B11*0.02*150*20)</f>
        <v/>
      </c>
      <c r="U11">
        <f>U4*$C11*60*50/($B11*0.02*150*20)</f>
        <v/>
      </c>
      <c r="V11">
        <f>V4*$C11*60*50/($B11*0.02*150*20)</f>
        <v/>
      </c>
      <c r="W11">
        <f>W4*$C11*60*50/($B11*0.02*150*20)</f>
        <v/>
      </c>
      <c r="X11">
        <f>X4*$C11*60*50/($B11*0.02*150*20)</f>
        <v/>
      </c>
      <c r="Y11">
        <f>Y4*$C11*60*50/($B11*0.02*150*20)</f>
        <v/>
      </c>
      <c r="Z11">
        <f>Z4*$C11*60*50/($B11*0.02*150*20)</f>
        <v/>
      </c>
      <c r="AA11">
        <f>AA4*$C11*60*50/($B11*0.02*150*20)</f>
        <v/>
      </c>
      <c r="AB11">
        <f>AB4*$C11*60*50/($B11*0.02*150*20)</f>
        <v/>
      </c>
      <c r="AC11">
        <f>AC4*$C11*60*50/($B11*0.02*150*20)</f>
        <v/>
      </c>
      <c r="AD11">
        <f>AD4*$C11*60*50/($B11*0.02*150*20)</f>
        <v/>
      </c>
      <c r="AE11">
        <f>AE4*$C11*60*50/($B11*0.02*150*20)</f>
        <v/>
      </c>
      <c r="AF11">
        <f>AF4*$C11*60*50/($B11*0.02*150*20)</f>
        <v/>
      </c>
      <c r="AG11">
        <f>AG4*$C11*60*50/($B11*0.02*150*20)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TE</t>
        </is>
      </c>
      <c r="C1" t="inlineStr">
        <is>
          <t>Dilutionfactor</t>
        </is>
      </c>
      <c r="D1" t="inlineStr">
        <is>
          <t>TotalmmFPs</t>
        </is>
      </c>
      <c r="E1" t="inlineStr">
        <is>
          <t>23Na</t>
        </is>
      </c>
      <c r="F1" t="inlineStr">
        <is>
          <t>24Mg</t>
        </is>
      </c>
      <c r="G1" t="inlineStr">
        <is>
          <t>27Al</t>
        </is>
      </c>
      <c r="H1" t="inlineStr">
        <is>
          <t>28Si</t>
        </is>
      </c>
      <c r="I1" t="inlineStr">
        <is>
          <t>39K</t>
        </is>
      </c>
      <c r="J1" t="inlineStr">
        <is>
          <t>44Ca</t>
        </is>
      </c>
      <c r="K1" t="inlineStr">
        <is>
          <t>48Ti</t>
        </is>
      </c>
      <c r="L1" t="inlineStr">
        <is>
          <t>51V</t>
        </is>
      </c>
      <c r="M1" t="inlineStr">
        <is>
          <t>52Cr</t>
        </is>
      </c>
      <c r="N1" t="inlineStr">
        <is>
          <t>54Fe</t>
        </is>
      </c>
      <c r="O1" t="inlineStr">
        <is>
          <t>55Mn</t>
        </is>
      </c>
      <c r="P1" t="inlineStr">
        <is>
          <t>59Co</t>
        </is>
      </c>
      <c r="Q1" t="inlineStr">
        <is>
          <t>60Ni</t>
        </is>
      </c>
      <c r="R1" t="inlineStr">
        <is>
          <t>63Cu</t>
        </is>
      </c>
      <c r="S1" t="inlineStr">
        <is>
          <t>66Zn</t>
        </is>
      </c>
      <c r="T1" t="inlineStr">
        <is>
          <t>75As</t>
        </is>
      </c>
      <c r="U1" t="inlineStr">
        <is>
          <t>88Sr</t>
        </is>
      </c>
      <c r="V1" t="inlineStr">
        <is>
          <t>90Zr</t>
        </is>
      </c>
      <c r="W1" t="inlineStr">
        <is>
          <t>93Nb</t>
        </is>
      </c>
      <c r="X1" t="inlineStr">
        <is>
          <t>98Mo</t>
        </is>
      </c>
      <c r="Y1" t="inlineStr">
        <is>
          <t>111Cd</t>
        </is>
      </c>
      <c r="Z1" t="inlineStr">
        <is>
          <t>120Sn</t>
        </is>
      </c>
      <c r="AA1" t="inlineStr">
        <is>
          <t>121Sb</t>
        </is>
      </c>
      <c r="AB1" t="inlineStr">
        <is>
          <t>138Ba</t>
        </is>
      </c>
      <c r="AC1" t="inlineStr">
        <is>
          <t>139La</t>
        </is>
      </c>
      <c r="AD1" t="inlineStr">
        <is>
          <t>140Ce</t>
        </is>
      </c>
      <c r="AE1" t="inlineStr">
        <is>
          <t>184W</t>
        </is>
      </c>
      <c r="AF1" t="inlineStr">
        <is>
          <t>205Tl</t>
        </is>
      </c>
      <c r="AG1" t="inlineStr">
        <is>
          <t>208Pb</t>
        </is>
      </c>
    </row>
    <row r="2">
      <c r="A2" t="inlineStr">
        <is>
          <t>CFPP2</t>
        </is>
      </c>
      <c r="B2" t="n">
        <v>0.4</v>
      </c>
      <c r="C2" t="n">
        <v>1000</v>
      </c>
      <c r="D2" t="n">
        <v>1049</v>
      </c>
      <c r="E2" t="n">
        <v>24</v>
      </c>
      <c r="F2" t="n">
        <v>81</v>
      </c>
      <c r="G2" t="n">
        <v>166</v>
      </c>
      <c r="H2" t="n">
        <v>22</v>
      </c>
      <c r="I2" t="n">
        <v>4</v>
      </c>
      <c r="J2" t="n">
        <v>12</v>
      </c>
      <c r="K2" t="n">
        <v>119</v>
      </c>
      <c r="L2" t="n">
        <v>14</v>
      </c>
      <c r="M2" t="n">
        <v>9</v>
      </c>
      <c r="N2" t="n">
        <v>104</v>
      </c>
      <c r="O2" t="n">
        <v>107</v>
      </c>
      <c r="P2" t="n">
        <v>5</v>
      </c>
      <c r="Q2" t="n">
        <v>1</v>
      </c>
      <c r="R2" t="n">
        <v>7</v>
      </c>
      <c r="S2" t="n">
        <v>20</v>
      </c>
      <c r="T2" t="n">
        <v>0</v>
      </c>
      <c r="U2" t="n">
        <v>68</v>
      </c>
      <c r="V2" t="n">
        <v>12</v>
      </c>
      <c r="W2" t="n">
        <v>5</v>
      </c>
      <c r="X2" t="n">
        <v>0</v>
      </c>
      <c r="Y2" t="n">
        <v>0</v>
      </c>
      <c r="Z2" t="n">
        <v>3</v>
      </c>
      <c r="AA2" t="n">
        <v>2</v>
      </c>
      <c r="AB2" t="n">
        <v>131</v>
      </c>
      <c r="AC2" t="n">
        <v>11</v>
      </c>
      <c r="AD2" t="n">
        <v>38</v>
      </c>
      <c r="AE2" t="n">
        <v>0</v>
      </c>
      <c r="AF2" t="n">
        <v>0</v>
      </c>
      <c r="AG2" t="n">
        <v>84</v>
      </c>
    </row>
    <row r="3">
      <c r="A3" t="inlineStr">
        <is>
          <t>COP11</t>
        </is>
      </c>
      <c r="B3" t="n">
        <v>0.4</v>
      </c>
      <c r="C3" t="n">
        <v>1000</v>
      </c>
      <c r="D3" t="n">
        <v>269</v>
      </c>
      <c r="E3" t="n">
        <v>7</v>
      </c>
      <c r="F3" t="n">
        <v>10</v>
      </c>
      <c r="G3" t="n">
        <v>55</v>
      </c>
      <c r="H3" t="n">
        <v>4</v>
      </c>
      <c r="I3" t="n">
        <v>3</v>
      </c>
      <c r="J3" t="n">
        <v>1</v>
      </c>
      <c r="K3" t="n">
        <v>18</v>
      </c>
      <c r="L3" t="n">
        <v>2</v>
      </c>
      <c r="M3" t="n">
        <v>4</v>
      </c>
      <c r="N3" t="n">
        <v>16</v>
      </c>
      <c r="O3" t="n">
        <v>17</v>
      </c>
      <c r="P3" t="n">
        <v>0</v>
      </c>
      <c r="Q3" t="n">
        <v>1</v>
      </c>
      <c r="R3" t="n">
        <v>1</v>
      </c>
      <c r="S3" t="n">
        <v>22</v>
      </c>
      <c r="T3" t="n">
        <v>0</v>
      </c>
      <c r="U3" t="n">
        <v>2</v>
      </c>
      <c r="V3" t="n">
        <v>3</v>
      </c>
      <c r="W3" t="n">
        <v>2</v>
      </c>
      <c r="X3" t="n">
        <v>0</v>
      </c>
      <c r="Y3" t="n">
        <v>0</v>
      </c>
      <c r="Z3" t="n">
        <v>4</v>
      </c>
      <c r="AA3" t="n">
        <v>2</v>
      </c>
      <c r="AB3" t="n">
        <v>16</v>
      </c>
      <c r="AC3" t="n">
        <v>1</v>
      </c>
      <c r="AD3" t="n">
        <v>5</v>
      </c>
      <c r="AE3" t="n">
        <v>0</v>
      </c>
      <c r="AF3" t="n">
        <v>0</v>
      </c>
      <c r="AG3" t="n">
        <v>73</v>
      </c>
    </row>
    <row r="4">
      <c r="A4" t="inlineStr">
        <is>
          <t>EAF10</t>
        </is>
      </c>
      <c r="B4" t="n">
        <v>0.4</v>
      </c>
      <c r="C4" t="n">
        <v>5000</v>
      </c>
      <c r="D4" t="n">
        <v>837</v>
      </c>
      <c r="E4" t="n">
        <v>0</v>
      </c>
      <c r="F4" t="n">
        <v>84</v>
      </c>
      <c r="G4" t="n">
        <v>10</v>
      </c>
      <c r="H4" t="n">
        <v>1</v>
      </c>
      <c r="I4" t="n">
        <v>0</v>
      </c>
      <c r="J4" t="n">
        <v>0</v>
      </c>
      <c r="K4" t="n">
        <v>1</v>
      </c>
      <c r="L4" t="n">
        <v>2</v>
      </c>
      <c r="M4" t="n">
        <v>29</v>
      </c>
      <c r="N4" t="n">
        <v>144</v>
      </c>
      <c r="O4" t="n">
        <v>247</v>
      </c>
      <c r="P4" t="n">
        <v>1</v>
      </c>
      <c r="Q4" t="n">
        <v>1</v>
      </c>
      <c r="R4" t="n">
        <v>12</v>
      </c>
      <c r="S4" t="n">
        <v>235</v>
      </c>
      <c r="T4" t="n">
        <v>0</v>
      </c>
      <c r="U4" t="n">
        <v>0</v>
      </c>
      <c r="V4" t="n">
        <v>0</v>
      </c>
      <c r="W4" t="n">
        <v>0</v>
      </c>
      <c r="X4" t="n">
        <v>2</v>
      </c>
      <c r="Y4" t="n">
        <v>0</v>
      </c>
      <c r="Z4" t="n">
        <v>4</v>
      </c>
      <c r="AA4" t="n">
        <v>1</v>
      </c>
      <c r="AB4" t="n">
        <v>1</v>
      </c>
      <c r="AC4" t="n">
        <v>0</v>
      </c>
      <c r="AD4" t="n">
        <v>0</v>
      </c>
      <c r="AE4" t="n">
        <v>3</v>
      </c>
      <c r="AF4" t="n">
        <v>0</v>
      </c>
      <c r="AG4" t="n">
        <v>59</v>
      </c>
    </row>
    <row r="6">
      <c r="A6" t="inlineStr">
        <is>
          <t>PNCs(particles/mg)</t>
        </is>
      </c>
    </row>
    <row r="8">
      <c r="A8" t="inlineStr">
        <is>
          <t>sampleID</t>
        </is>
      </c>
      <c r="B8" t="inlineStr">
        <is>
          <t>TE</t>
        </is>
      </c>
      <c r="C8" t="inlineStr">
        <is>
          <t>Dilutionfactor</t>
        </is>
      </c>
      <c r="D8" t="inlineStr">
        <is>
          <t>TotalmmFPs</t>
        </is>
      </c>
      <c r="E8" t="inlineStr">
        <is>
          <t>23Na</t>
        </is>
      </c>
      <c r="F8" t="inlineStr">
        <is>
          <t>24Mg</t>
        </is>
      </c>
      <c r="G8" t="inlineStr">
        <is>
          <t>27Al</t>
        </is>
      </c>
      <c r="H8" t="inlineStr">
        <is>
          <t>28Si</t>
        </is>
      </c>
      <c r="I8" t="inlineStr">
        <is>
          <t>39K</t>
        </is>
      </c>
      <c r="J8" t="inlineStr">
        <is>
          <t>44Ca</t>
        </is>
      </c>
      <c r="K8" t="inlineStr">
        <is>
          <t>48Ti</t>
        </is>
      </c>
      <c r="L8" t="inlineStr">
        <is>
          <t>51V</t>
        </is>
      </c>
      <c r="M8" t="inlineStr">
        <is>
          <t>52Cr</t>
        </is>
      </c>
      <c r="N8" t="inlineStr">
        <is>
          <t>54Fe</t>
        </is>
      </c>
      <c r="O8" t="inlineStr">
        <is>
          <t>55Mn</t>
        </is>
      </c>
      <c r="P8" t="inlineStr">
        <is>
          <t>59Co</t>
        </is>
      </c>
      <c r="Q8" t="inlineStr">
        <is>
          <t>60Ni</t>
        </is>
      </c>
      <c r="R8" t="inlineStr">
        <is>
          <t>63Cu</t>
        </is>
      </c>
      <c r="S8" t="inlineStr">
        <is>
          <t>66Zn</t>
        </is>
      </c>
      <c r="T8" t="inlineStr">
        <is>
          <t>75As</t>
        </is>
      </c>
      <c r="U8" t="inlineStr">
        <is>
          <t>88Sr</t>
        </is>
      </c>
      <c r="V8" t="inlineStr">
        <is>
          <t>90Zr</t>
        </is>
      </c>
      <c r="W8" t="inlineStr">
        <is>
          <t>93Nb</t>
        </is>
      </c>
      <c r="X8" t="inlineStr">
        <is>
          <t>98Mo</t>
        </is>
      </c>
      <c r="Y8" t="inlineStr">
        <is>
          <t>111Cd</t>
        </is>
      </c>
      <c r="Z8" t="inlineStr">
        <is>
          <t>120Sn</t>
        </is>
      </c>
      <c r="AA8" t="inlineStr">
        <is>
          <t>121Sb</t>
        </is>
      </c>
      <c r="AB8" t="inlineStr">
        <is>
          <t>138Ba</t>
        </is>
      </c>
      <c r="AC8" t="inlineStr">
        <is>
          <t>139La</t>
        </is>
      </c>
      <c r="AD8" t="inlineStr">
        <is>
          <t>140Ce</t>
        </is>
      </c>
      <c r="AE8" t="inlineStr">
        <is>
          <t>184W</t>
        </is>
      </c>
      <c r="AF8" t="inlineStr">
        <is>
          <t>205Tl</t>
        </is>
      </c>
      <c r="AG8" t="inlineStr">
        <is>
          <t>208Pb</t>
        </is>
      </c>
    </row>
    <row r="9">
      <c r="A9" t="inlineStr">
        <is>
          <t>CFPP2</t>
        </is>
      </c>
      <c r="B9" t="n">
        <v>0.4</v>
      </c>
      <c r="C9" t="n">
        <v>1000</v>
      </c>
      <c r="D9">
        <f>D2*$C9*60*50/($B9*0.02*150*20)</f>
        <v/>
      </c>
      <c r="E9">
        <f>E2*$C9*60*50/($B9*0.02*150*20)</f>
        <v/>
      </c>
      <c r="F9">
        <f>F2*$C9*60*50/($B9*0.02*150*20)</f>
        <v/>
      </c>
      <c r="G9">
        <f>G2*$C9*60*50/($B9*0.02*150*20)</f>
        <v/>
      </c>
      <c r="H9">
        <f>H2*$C9*60*50/($B9*0.02*150*20)</f>
        <v/>
      </c>
      <c r="I9">
        <f>I2*$C9*60*50/($B9*0.02*150*20)</f>
        <v/>
      </c>
      <c r="J9">
        <f>J2*$C9*60*50/($B9*0.02*150*20)</f>
        <v/>
      </c>
      <c r="K9">
        <f>K2*$C9*60*50/($B9*0.02*150*20)</f>
        <v/>
      </c>
      <c r="L9">
        <f>L2*$C9*60*50/($B9*0.02*150*20)</f>
        <v/>
      </c>
      <c r="M9">
        <f>M2*$C9*60*50/($B9*0.02*150*20)</f>
        <v/>
      </c>
      <c r="N9">
        <f>N2*$C9*60*50/($B9*0.02*150*20)</f>
        <v/>
      </c>
      <c r="O9">
        <f>O2*$C9*60*50/($B9*0.02*150*20)</f>
        <v/>
      </c>
      <c r="P9">
        <f>P2*$C9*60*50/($B9*0.02*150*20)</f>
        <v/>
      </c>
      <c r="Q9">
        <f>Q2*$C9*60*50/($B9*0.02*150*20)</f>
        <v/>
      </c>
      <c r="R9">
        <f>R2*$C9*60*50/($B9*0.02*150*20)</f>
        <v/>
      </c>
      <c r="S9">
        <f>S2*$C9*60*50/($B9*0.02*150*20)</f>
        <v/>
      </c>
      <c r="T9">
        <f>T2*$C9*60*50/($B9*0.02*150*20)</f>
        <v/>
      </c>
      <c r="U9">
        <f>U2*$C9*60*50/($B9*0.02*150*20)</f>
        <v/>
      </c>
      <c r="V9">
        <f>V2*$C9*60*50/($B9*0.02*150*20)</f>
        <v/>
      </c>
      <c r="W9">
        <f>W2*$C9*60*50/($B9*0.02*150*20)</f>
        <v/>
      </c>
      <c r="X9">
        <f>X2*$C9*60*50/($B9*0.02*150*20)</f>
        <v/>
      </c>
      <c r="Y9">
        <f>Y2*$C9*60*50/($B9*0.02*150*20)</f>
        <v/>
      </c>
      <c r="Z9">
        <f>Z2*$C9*60*50/($B9*0.02*150*20)</f>
        <v/>
      </c>
      <c r="AA9">
        <f>AA2*$C9*60*50/($B9*0.02*150*20)</f>
        <v/>
      </c>
      <c r="AB9">
        <f>AB2*$C9*60*50/($B9*0.02*150*20)</f>
        <v/>
      </c>
      <c r="AC9">
        <f>AC2*$C9*60*50/($B9*0.02*150*20)</f>
        <v/>
      </c>
      <c r="AD9">
        <f>AD2*$C9*60*50/($B9*0.02*150*20)</f>
        <v/>
      </c>
      <c r="AE9">
        <f>AE2*$C9*60*50/($B9*0.02*150*20)</f>
        <v/>
      </c>
      <c r="AF9">
        <f>AF2*$C9*60*50/($B9*0.02*150*20)</f>
        <v/>
      </c>
      <c r="AG9">
        <f>AG2*$C9*60*50/($B9*0.02*150*20)</f>
        <v/>
      </c>
    </row>
    <row r="10">
      <c r="A10" t="inlineStr">
        <is>
          <t>COP11</t>
        </is>
      </c>
      <c r="B10" t="n">
        <v>0.4</v>
      </c>
      <c r="C10" t="n">
        <v>1000</v>
      </c>
      <c r="D10">
        <f>D3*$C10*60*50/($B10*0.02*150*20)</f>
        <v/>
      </c>
      <c r="E10">
        <f>E3*$C10*60*50/($B10*0.02*150*20)</f>
        <v/>
      </c>
      <c r="F10">
        <f>F3*$C10*60*50/($B10*0.02*150*20)</f>
        <v/>
      </c>
      <c r="G10">
        <f>G3*$C10*60*50/($B10*0.02*150*20)</f>
        <v/>
      </c>
      <c r="H10">
        <f>H3*$C10*60*50/($B10*0.02*150*20)</f>
        <v/>
      </c>
      <c r="I10">
        <f>I3*$C10*60*50/($B10*0.02*150*20)</f>
        <v/>
      </c>
      <c r="J10">
        <f>J3*$C10*60*50/($B10*0.02*150*20)</f>
        <v/>
      </c>
      <c r="K10">
        <f>K3*$C10*60*50/($B10*0.02*150*20)</f>
        <v/>
      </c>
      <c r="L10">
        <f>L3*$C10*60*50/($B10*0.02*150*20)</f>
        <v/>
      </c>
      <c r="M10">
        <f>M3*$C10*60*50/($B10*0.02*150*20)</f>
        <v/>
      </c>
      <c r="N10">
        <f>N3*$C10*60*50/($B10*0.02*150*20)</f>
        <v/>
      </c>
      <c r="O10">
        <f>O3*$C10*60*50/($B10*0.02*150*20)</f>
        <v/>
      </c>
      <c r="P10">
        <f>P3*$C10*60*50/($B10*0.02*150*20)</f>
        <v/>
      </c>
      <c r="Q10">
        <f>Q3*$C10*60*50/($B10*0.02*150*20)</f>
        <v/>
      </c>
      <c r="R10">
        <f>R3*$C10*60*50/($B10*0.02*150*20)</f>
        <v/>
      </c>
      <c r="S10">
        <f>S3*$C10*60*50/($B10*0.02*150*20)</f>
        <v/>
      </c>
      <c r="T10">
        <f>T3*$C10*60*50/($B10*0.02*150*20)</f>
        <v/>
      </c>
      <c r="U10">
        <f>U3*$C10*60*50/($B10*0.02*150*20)</f>
        <v/>
      </c>
      <c r="V10">
        <f>V3*$C10*60*50/($B10*0.02*150*20)</f>
        <v/>
      </c>
      <c r="W10">
        <f>W3*$C10*60*50/($B10*0.02*150*20)</f>
        <v/>
      </c>
      <c r="X10">
        <f>X3*$C10*60*50/($B10*0.02*150*20)</f>
        <v/>
      </c>
      <c r="Y10">
        <f>Y3*$C10*60*50/($B10*0.02*150*20)</f>
        <v/>
      </c>
      <c r="Z10">
        <f>Z3*$C10*60*50/($B10*0.02*150*20)</f>
        <v/>
      </c>
      <c r="AA10">
        <f>AA3*$C10*60*50/($B10*0.02*150*20)</f>
        <v/>
      </c>
      <c r="AB10">
        <f>AB3*$C10*60*50/($B10*0.02*150*20)</f>
        <v/>
      </c>
      <c r="AC10">
        <f>AC3*$C10*60*50/($B10*0.02*150*20)</f>
        <v/>
      </c>
      <c r="AD10">
        <f>AD3*$C10*60*50/($B10*0.02*150*20)</f>
        <v/>
      </c>
      <c r="AE10">
        <f>AE3*$C10*60*50/($B10*0.02*150*20)</f>
        <v/>
      </c>
      <c r="AF10">
        <f>AF3*$C10*60*50/($B10*0.02*150*20)</f>
        <v/>
      </c>
      <c r="AG10">
        <f>AG3*$C10*60*50/($B10*0.02*150*20)</f>
        <v/>
      </c>
    </row>
    <row r="11">
      <c r="A11" t="inlineStr">
        <is>
          <t>EAF10</t>
        </is>
      </c>
      <c r="B11" t="n">
        <v>0.4</v>
      </c>
      <c r="C11" t="n">
        <v>5000</v>
      </c>
      <c r="D11">
        <f>D4*$C11*60*50/($B11*0.02*150*20)</f>
        <v/>
      </c>
      <c r="E11">
        <f>E4*$C11*60*50/($B11*0.02*150*20)</f>
        <v/>
      </c>
      <c r="F11">
        <f>F4*$C11*60*50/($B11*0.02*150*20)</f>
        <v/>
      </c>
      <c r="G11">
        <f>G4*$C11*60*50/($B11*0.02*150*20)</f>
        <v/>
      </c>
      <c r="H11">
        <f>H4*$C11*60*50/($B11*0.02*150*20)</f>
        <v/>
      </c>
      <c r="I11">
        <f>I4*$C11*60*50/($B11*0.02*150*20)</f>
        <v/>
      </c>
      <c r="J11">
        <f>J4*$C11*60*50/($B11*0.02*150*20)</f>
        <v/>
      </c>
      <c r="K11">
        <f>K4*$C11*60*50/($B11*0.02*150*20)</f>
        <v/>
      </c>
      <c r="L11">
        <f>L4*$C11*60*50/($B11*0.02*150*20)</f>
        <v/>
      </c>
      <c r="M11">
        <f>M4*$C11*60*50/($B11*0.02*150*20)</f>
        <v/>
      </c>
      <c r="N11">
        <f>N4*$C11*60*50/($B11*0.02*150*20)</f>
        <v/>
      </c>
      <c r="O11">
        <f>O4*$C11*60*50/($B11*0.02*150*20)</f>
        <v/>
      </c>
      <c r="P11">
        <f>P4*$C11*60*50/($B11*0.02*150*20)</f>
        <v/>
      </c>
      <c r="Q11">
        <f>Q4*$C11*60*50/($B11*0.02*150*20)</f>
        <v/>
      </c>
      <c r="R11">
        <f>R4*$C11*60*50/($B11*0.02*150*20)</f>
        <v/>
      </c>
      <c r="S11">
        <f>S4*$C11*60*50/($B11*0.02*150*20)</f>
        <v/>
      </c>
      <c r="T11">
        <f>T4*$C11*60*50/($B11*0.02*150*20)</f>
        <v/>
      </c>
      <c r="U11">
        <f>U4*$C11*60*50/($B11*0.02*150*20)</f>
        <v/>
      </c>
      <c r="V11">
        <f>V4*$C11*60*50/($B11*0.02*150*20)</f>
        <v/>
      </c>
      <c r="W11">
        <f>W4*$C11*60*50/($B11*0.02*150*20)</f>
        <v/>
      </c>
      <c r="X11">
        <f>X4*$C11*60*50/($B11*0.02*150*20)</f>
        <v/>
      </c>
      <c r="Y11">
        <f>Y4*$C11*60*50/($B11*0.02*150*20)</f>
        <v/>
      </c>
      <c r="Z11">
        <f>Z4*$C11*60*50/($B11*0.02*150*20)</f>
        <v/>
      </c>
      <c r="AA11">
        <f>AA4*$C11*60*50/($B11*0.02*150*20)</f>
        <v/>
      </c>
      <c r="AB11">
        <f>AB4*$C11*60*50/($B11*0.02*150*20)</f>
        <v/>
      </c>
      <c r="AC11">
        <f>AC4*$C11*60*50/($B11*0.02*150*20)</f>
        <v/>
      </c>
      <c r="AD11">
        <f>AD4*$C11*60*50/($B11*0.02*150*20)</f>
        <v/>
      </c>
      <c r="AE11">
        <f>AE4*$C11*60*50/($B11*0.02*150*20)</f>
        <v/>
      </c>
      <c r="AF11">
        <f>AF4*$C11*60*50/($B11*0.02*150*20)</f>
        <v/>
      </c>
      <c r="AG11">
        <f>AG4*$C11*60*50/($B11*0.02*150*20)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TE</t>
        </is>
      </c>
      <c r="C1" t="inlineStr">
        <is>
          <t>Dilutionfactor</t>
        </is>
      </c>
      <c r="D1" t="inlineStr">
        <is>
          <t>TotalFPs</t>
        </is>
      </c>
      <c r="E1" t="inlineStr">
        <is>
          <t>23Na</t>
        </is>
      </c>
      <c r="F1" t="inlineStr">
        <is>
          <t>24Mg</t>
        </is>
      </c>
      <c r="G1" t="inlineStr">
        <is>
          <t>27Al</t>
        </is>
      </c>
      <c r="H1" t="inlineStr">
        <is>
          <t>28Si</t>
        </is>
      </c>
      <c r="I1" t="inlineStr">
        <is>
          <t>39K</t>
        </is>
      </c>
      <c r="J1" t="inlineStr">
        <is>
          <t>44Ca</t>
        </is>
      </c>
      <c r="K1" t="inlineStr">
        <is>
          <t>48Ti</t>
        </is>
      </c>
      <c r="L1" t="inlineStr">
        <is>
          <t>51V</t>
        </is>
      </c>
      <c r="M1" t="inlineStr">
        <is>
          <t>52Cr</t>
        </is>
      </c>
      <c r="N1" t="inlineStr">
        <is>
          <t>54Fe</t>
        </is>
      </c>
      <c r="O1" t="inlineStr">
        <is>
          <t>55Mn</t>
        </is>
      </c>
      <c r="P1" t="inlineStr">
        <is>
          <t>59Co</t>
        </is>
      </c>
      <c r="Q1" t="inlineStr">
        <is>
          <t>60Ni</t>
        </is>
      </c>
      <c r="R1" t="inlineStr">
        <is>
          <t>63Cu</t>
        </is>
      </c>
      <c r="S1" t="inlineStr">
        <is>
          <t>66Zn</t>
        </is>
      </c>
      <c r="T1" t="inlineStr">
        <is>
          <t>75As</t>
        </is>
      </c>
      <c r="U1" t="inlineStr">
        <is>
          <t>88Sr</t>
        </is>
      </c>
      <c r="V1" t="inlineStr">
        <is>
          <t>90Zr</t>
        </is>
      </c>
      <c r="W1" t="inlineStr">
        <is>
          <t>93Nb</t>
        </is>
      </c>
      <c r="X1" t="inlineStr">
        <is>
          <t>98Mo</t>
        </is>
      </c>
      <c r="Y1" t="inlineStr">
        <is>
          <t>111Cd</t>
        </is>
      </c>
      <c r="Z1" t="inlineStr">
        <is>
          <t>120Sn</t>
        </is>
      </c>
      <c r="AA1" t="inlineStr">
        <is>
          <t>121Sb</t>
        </is>
      </c>
      <c r="AB1" t="inlineStr">
        <is>
          <t>138Ba</t>
        </is>
      </c>
      <c r="AC1" t="inlineStr">
        <is>
          <t>139La</t>
        </is>
      </c>
      <c r="AD1" t="inlineStr">
        <is>
          <t>140Ce</t>
        </is>
      </c>
      <c r="AE1" t="inlineStr">
        <is>
          <t>184W</t>
        </is>
      </c>
      <c r="AF1" t="inlineStr">
        <is>
          <t>205Tl</t>
        </is>
      </c>
      <c r="AG1" t="inlineStr">
        <is>
          <t>208Pb</t>
        </is>
      </c>
    </row>
    <row r="2">
      <c r="A2" t="inlineStr">
        <is>
          <t>CFPP2</t>
        </is>
      </c>
      <c r="B2" t="n">
        <v>0.4</v>
      </c>
      <c r="C2" t="n">
        <v>1000</v>
      </c>
      <c r="D2" t="n">
        <v>1171</v>
      </c>
      <c r="E2" t="n">
        <v>24</v>
      </c>
      <c r="F2" t="n">
        <v>81</v>
      </c>
      <c r="G2" t="n">
        <v>166</v>
      </c>
      <c r="H2" t="n">
        <v>22</v>
      </c>
      <c r="I2" t="n">
        <v>4</v>
      </c>
      <c r="J2" t="n">
        <v>12</v>
      </c>
      <c r="K2" t="n">
        <v>119</v>
      </c>
      <c r="L2" t="n">
        <v>21</v>
      </c>
      <c r="M2" t="n">
        <v>42</v>
      </c>
      <c r="N2" t="n">
        <v>104</v>
      </c>
      <c r="O2" t="n">
        <v>129</v>
      </c>
      <c r="P2" t="n">
        <v>11</v>
      </c>
      <c r="Q2" t="n">
        <v>22</v>
      </c>
      <c r="R2" t="n">
        <v>9</v>
      </c>
      <c r="S2" t="n">
        <v>30</v>
      </c>
      <c r="T2" t="n">
        <v>2</v>
      </c>
      <c r="U2" t="n">
        <v>68</v>
      </c>
      <c r="V2" t="n">
        <v>12</v>
      </c>
      <c r="W2" t="n">
        <v>5</v>
      </c>
      <c r="X2" t="n">
        <v>0</v>
      </c>
      <c r="Y2" t="n">
        <v>2</v>
      </c>
      <c r="Z2" t="n">
        <v>5</v>
      </c>
      <c r="AA2" t="n">
        <v>4</v>
      </c>
      <c r="AB2" t="n">
        <v>134</v>
      </c>
      <c r="AC2" t="n">
        <v>11</v>
      </c>
      <c r="AD2" t="n">
        <v>38</v>
      </c>
      <c r="AE2" t="n">
        <v>0</v>
      </c>
      <c r="AF2" t="n">
        <v>3</v>
      </c>
      <c r="AG2" t="n">
        <v>91</v>
      </c>
    </row>
    <row r="3">
      <c r="A3" t="inlineStr">
        <is>
          <t>COP11</t>
        </is>
      </c>
      <c r="B3" t="n">
        <v>0.4</v>
      </c>
      <c r="C3" t="n">
        <v>1000</v>
      </c>
      <c r="D3" t="n">
        <v>762</v>
      </c>
      <c r="E3" t="n">
        <v>7</v>
      </c>
      <c r="F3" t="n">
        <v>10</v>
      </c>
      <c r="G3" t="n">
        <v>55</v>
      </c>
      <c r="H3" t="n">
        <v>4</v>
      </c>
      <c r="I3" t="n">
        <v>3</v>
      </c>
      <c r="J3" t="n">
        <v>1</v>
      </c>
      <c r="K3" t="n">
        <v>18</v>
      </c>
      <c r="L3" t="n">
        <v>4</v>
      </c>
      <c r="M3" t="n">
        <v>20</v>
      </c>
      <c r="N3" t="n">
        <v>16</v>
      </c>
      <c r="O3" t="n">
        <v>43</v>
      </c>
      <c r="P3" t="n">
        <v>1</v>
      </c>
      <c r="Q3" t="n">
        <v>9</v>
      </c>
      <c r="R3" t="n">
        <v>3</v>
      </c>
      <c r="S3" t="n">
        <v>29</v>
      </c>
      <c r="T3" t="n">
        <v>2</v>
      </c>
      <c r="U3" t="n">
        <v>2</v>
      </c>
      <c r="V3" t="n">
        <v>3</v>
      </c>
      <c r="W3" t="n">
        <v>2</v>
      </c>
      <c r="X3" t="n">
        <v>0</v>
      </c>
      <c r="Y3" t="n">
        <v>1</v>
      </c>
      <c r="Z3" t="n">
        <v>11</v>
      </c>
      <c r="AA3" t="n">
        <v>4</v>
      </c>
      <c r="AB3" t="n">
        <v>18</v>
      </c>
      <c r="AC3" t="n">
        <v>1</v>
      </c>
      <c r="AD3" t="n">
        <v>5</v>
      </c>
      <c r="AE3" t="n">
        <v>0</v>
      </c>
      <c r="AF3" t="n">
        <v>2</v>
      </c>
      <c r="AG3" t="n">
        <v>488</v>
      </c>
    </row>
    <row r="4">
      <c r="A4" t="inlineStr">
        <is>
          <t>EAF10</t>
        </is>
      </c>
      <c r="B4" t="n">
        <v>0.4</v>
      </c>
      <c r="C4" t="n">
        <v>5000</v>
      </c>
      <c r="D4" t="n">
        <v>1098</v>
      </c>
      <c r="E4" t="n">
        <v>0</v>
      </c>
      <c r="F4" t="n">
        <v>84</v>
      </c>
      <c r="G4" t="n">
        <v>10</v>
      </c>
      <c r="H4" t="n">
        <v>1</v>
      </c>
      <c r="I4" t="n">
        <v>0</v>
      </c>
      <c r="J4" t="n">
        <v>0</v>
      </c>
      <c r="K4" t="n">
        <v>1</v>
      </c>
      <c r="L4" t="n">
        <v>4</v>
      </c>
      <c r="M4" t="n">
        <v>47</v>
      </c>
      <c r="N4" t="n">
        <v>144</v>
      </c>
      <c r="O4" t="n">
        <v>356</v>
      </c>
      <c r="P4" t="n">
        <v>2</v>
      </c>
      <c r="Q4" t="n">
        <v>38</v>
      </c>
      <c r="R4" t="n">
        <v>15</v>
      </c>
      <c r="S4" t="n">
        <v>300</v>
      </c>
      <c r="T4" t="n">
        <v>0</v>
      </c>
      <c r="U4" t="n">
        <v>0</v>
      </c>
      <c r="V4" t="n">
        <v>0</v>
      </c>
      <c r="W4" t="n">
        <v>0</v>
      </c>
      <c r="X4" t="n">
        <v>2</v>
      </c>
      <c r="Y4" t="n">
        <v>3</v>
      </c>
      <c r="Z4" t="n">
        <v>8</v>
      </c>
      <c r="AA4" t="n">
        <v>2</v>
      </c>
      <c r="AB4" t="n">
        <v>5</v>
      </c>
      <c r="AC4" t="n">
        <v>0</v>
      </c>
      <c r="AD4" t="n">
        <v>0</v>
      </c>
      <c r="AE4" t="n">
        <v>3</v>
      </c>
      <c r="AF4" t="n">
        <v>2</v>
      </c>
      <c r="AG4" t="n">
        <v>71</v>
      </c>
    </row>
    <row r="6">
      <c r="A6" t="inlineStr">
        <is>
          <t>PNCs(particles/mg)</t>
        </is>
      </c>
    </row>
    <row r="8">
      <c r="A8" t="inlineStr">
        <is>
          <t>sampleID</t>
        </is>
      </c>
      <c r="B8" t="inlineStr">
        <is>
          <t>TE</t>
        </is>
      </c>
      <c r="C8" t="inlineStr">
        <is>
          <t>Dilutionfactor</t>
        </is>
      </c>
      <c r="D8" t="inlineStr">
        <is>
          <t>TotalFPs</t>
        </is>
      </c>
      <c r="E8" t="inlineStr">
        <is>
          <t>23Na</t>
        </is>
      </c>
      <c r="F8" t="inlineStr">
        <is>
          <t>24Mg</t>
        </is>
      </c>
      <c r="G8" t="inlineStr">
        <is>
          <t>27Al</t>
        </is>
      </c>
      <c r="H8" t="inlineStr">
        <is>
          <t>28Si</t>
        </is>
      </c>
      <c r="I8" t="inlineStr">
        <is>
          <t>39K</t>
        </is>
      </c>
      <c r="J8" t="inlineStr">
        <is>
          <t>44Ca</t>
        </is>
      </c>
      <c r="K8" t="inlineStr">
        <is>
          <t>48Ti</t>
        </is>
      </c>
      <c r="L8" t="inlineStr">
        <is>
          <t>51V</t>
        </is>
      </c>
      <c r="M8" t="inlineStr">
        <is>
          <t>52Cr</t>
        </is>
      </c>
      <c r="N8" t="inlineStr">
        <is>
          <t>54Fe</t>
        </is>
      </c>
      <c r="O8" t="inlineStr">
        <is>
          <t>55Mn</t>
        </is>
      </c>
      <c r="P8" t="inlineStr">
        <is>
          <t>59Co</t>
        </is>
      </c>
      <c r="Q8" t="inlineStr">
        <is>
          <t>60Ni</t>
        </is>
      </c>
      <c r="R8" t="inlineStr">
        <is>
          <t>63Cu</t>
        </is>
      </c>
      <c r="S8" t="inlineStr">
        <is>
          <t>66Zn</t>
        </is>
      </c>
      <c r="T8" t="inlineStr">
        <is>
          <t>75As</t>
        </is>
      </c>
      <c r="U8" t="inlineStr">
        <is>
          <t>88Sr</t>
        </is>
      </c>
      <c r="V8" t="inlineStr">
        <is>
          <t>90Zr</t>
        </is>
      </c>
      <c r="W8" t="inlineStr">
        <is>
          <t>93Nb</t>
        </is>
      </c>
      <c r="X8" t="inlineStr">
        <is>
          <t>98Mo</t>
        </is>
      </c>
      <c r="Y8" t="inlineStr">
        <is>
          <t>111Cd</t>
        </is>
      </c>
      <c r="Z8" t="inlineStr">
        <is>
          <t>120Sn</t>
        </is>
      </c>
      <c r="AA8" t="inlineStr">
        <is>
          <t>121Sb</t>
        </is>
      </c>
      <c r="AB8" t="inlineStr">
        <is>
          <t>138Ba</t>
        </is>
      </c>
      <c r="AC8" t="inlineStr">
        <is>
          <t>139La</t>
        </is>
      </c>
      <c r="AD8" t="inlineStr">
        <is>
          <t>140Ce</t>
        </is>
      </c>
      <c r="AE8" t="inlineStr">
        <is>
          <t>184W</t>
        </is>
      </c>
      <c r="AF8" t="inlineStr">
        <is>
          <t>205Tl</t>
        </is>
      </c>
      <c r="AG8" t="inlineStr">
        <is>
          <t>208Pb</t>
        </is>
      </c>
    </row>
    <row r="9">
      <c r="A9" t="inlineStr">
        <is>
          <t>CFPP2</t>
        </is>
      </c>
      <c r="B9" t="n">
        <v>0.4</v>
      </c>
      <c r="C9" t="n">
        <v>1000</v>
      </c>
      <c r="D9">
        <f>D2*$C9*60*50/($B9*0.02*150*20)</f>
        <v/>
      </c>
      <c r="E9">
        <f>E2*$C9*60*50/($B9*0.02*150*20)</f>
        <v/>
      </c>
      <c r="F9">
        <f>F2*$C9*60*50/($B9*0.02*150*20)</f>
        <v/>
      </c>
      <c r="G9">
        <f>G2*$C9*60*50/($B9*0.02*150*20)</f>
        <v/>
      </c>
      <c r="H9">
        <f>H2*$C9*60*50/($B9*0.02*150*20)</f>
        <v/>
      </c>
      <c r="I9">
        <f>I2*$C9*60*50/($B9*0.02*150*20)</f>
        <v/>
      </c>
      <c r="J9">
        <f>J2*$C9*60*50/($B9*0.02*150*20)</f>
        <v/>
      </c>
      <c r="K9">
        <f>K2*$C9*60*50/($B9*0.02*150*20)</f>
        <v/>
      </c>
      <c r="L9">
        <f>L2*$C9*60*50/($B9*0.02*150*20)</f>
        <v/>
      </c>
      <c r="M9">
        <f>M2*$C9*60*50/($B9*0.02*150*20)</f>
        <v/>
      </c>
      <c r="N9">
        <f>N2*$C9*60*50/($B9*0.02*150*20)</f>
        <v/>
      </c>
      <c r="O9">
        <f>O2*$C9*60*50/($B9*0.02*150*20)</f>
        <v/>
      </c>
      <c r="P9">
        <f>P2*$C9*60*50/($B9*0.02*150*20)</f>
        <v/>
      </c>
      <c r="Q9">
        <f>Q2*$C9*60*50/($B9*0.02*150*20)</f>
        <v/>
      </c>
      <c r="R9">
        <f>R2*$C9*60*50/($B9*0.02*150*20)</f>
        <v/>
      </c>
      <c r="S9">
        <f>S2*$C9*60*50/($B9*0.02*150*20)</f>
        <v/>
      </c>
      <c r="T9">
        <f>T2*$C9*60*50/($B9*0.02*150*20)</f>
        <v/>
      </c>
      <c r="U9">
        <f>U2*$C9*60*50/($B9*0.02*150*20)</f>
        <v/>
      </c>
      <c r="V9">
        <f>V2*$C9*60*50/($B9*0.02*150*20)</f>
        <v/>
      </c>
      <c r="W9">
        <f>W2*$C9*60*50/($B9*0.02*150*20)</f>
        <v/>
      </c>
      <c r="X9">
        <f>X2*$C9*60*50/($B9*0.02*150*20)</f>
        <v/>
      </c>
      <c r="Y9">
        <f>Y2*$C9*60*50/($B9*0.02*150*20)</f>
        <v/>
      </c>
      <c r="Z9">
        <f>Z2*$C9*60*50/($B9*0.02*150*20)</f>
        <v/>
      </c>
      <c r="AA9">
        <f>AA2*$C9*60*50/($B9*0.02*150*20)</f>
        <v/>
      </c>
      <c r="AB9">
        <f>AB2*$C9*60*50/($B9*0.02*150*20)</f>
        <v/>
      </c>
      <c r="AC9">
        <f>AC2*$C9*60*50/($B9*0.02*150*20)</f>
        <v/>
      </c>
      <c r="AD9">
        <f>AD2*$C9*60*50/($B9*0.02*150*20)</f>
        <v/>
      </c>
      <c r="AE9">
        <f>AE2*$C9*60*50/($B9*0.02*150*20)</f>
        <v/>
      </c>
      <c r="AF9">
        <f>AF2*$C9*60*50/($B9*0.02*150*20)</f>
        <v/>
      </c>
      <c r="AG9">
        <f>AG2*$C9*60*50/($B9*0.02*150*20)</f>
        <v/>
      </c>
    </row>
    <row r="10">
      <c r="A10" t="inlineStr">
        <is>
          <t>COP11</t>
        </is>
      </c>
      <c r="B10" t="n">
        <v>0.4</v>
      </c>
      <c r="C10" t="n">
        <v>1000</v>
      </c>
      <c r="D10">
        <f>D3*$C10*60*50/($B10*0.02*150*20)</f>
        <v/>
      </c>
      <c r="E10">
        <f>E3*$C10*60*50/($B10*0.02*150*20)</f>
        <v/>
      </c>
      <c r="F10">
        <f>F3*$C10*60*50/($B10*0.02*150*20)</f>
        <v/>
      </c>
      <c r="G10">
        <f>G3*$C10*60*50/($B10*0.02*150*20)</f>
        <v/>
      </c>
      <c r="H10">
        <f>H3*$C10*60*50/($B10*0.02*150*20)</f>
        <v/>
      </c>
      <c r="I10">
        <f>I3*$C10*60*50/($B10*0.02*150*20)</f>
        <v/>
      </c>
      <c r="J10">
        <f>J3*$C10*60*50/($B10*0.02*150*20)</f>
        <v/>
      </c>
      <c r="K10">
        <f>K3*$C10*60*50/($B10*0.02*150*20)</f>
        <v/>
      </c>
      <c r="L10">
        <f>L3*$C10*60*50/($B10*0.02*150*20)</f>
        <v/>
      </c>
      <c r="M10">
        <f>M3*$C10*60*50/($B10*0.02*150*20)</f>
        <v/>
      </c>
      <c r="N10">
        <f>N3*$C10*60*50/($B10*0.02*150*20)</f>
        <v/>
      </c>
      <c r="O10">
        <f>O3*$C10*60*50/($B10*0.02*150*20)</f>
        <v/>
      </c>
      <c r="P10">
        <f>P3*$C10*60*50/($B10*0.02*150*20)</f>
        <v/>
      </c>
      <c r="Q10">
        <f>Q3*$C10*60*50/($B10*0.02*150*20)</f>
        <v/>
      </c>
      <c r="R10">
        <f>R3*$C10*60*50/($B10*0.02*150*20)</f>
        <v/>
      </c>
      <c r="S10">
        <f>S3*$C10*60*50/($B10*0.02*150*20)</f>
        <v/>
      </c>
      <c r="T10">
        <f>T3*$C10*60*50/($B10*0.02*150*20)</f>
        <v/>
      </c>
      <c r="U10">
        <f>U3*$C10*60*50/($B10*0.02*150*20)</f>
        <v/>
      </c>
      <c r="V10">
        <f>V3*$C10*60*50/($B10*0.02*150*20)</f>
        <v/>
      </c>
      <c r="W10">
        <f>W3*$C10*60*50/($B10*0.02*150*20)</f>
        <v/>
      </c>
      <c r="X10">
        <f>X3*$C10*60*50/($B10*0.02*150*20)</f>
        <v/>
      </c>
      <c r="Y10">
        <f>Y3*$C10*60*50/($B10*0.02*150*20)</f>
        <v/>
      </c>
      <c r="Z10">
        <f>Z3*$C10*60*50/($B10*0.02*150*20)</f>
        <v/>
      </c>
      <c r="AA10">
        <f>AA3*$C10*60*50/($B10*0.02*150*20)</f>
        <v/>
      </c>
      <c r="AB10">
        <f>AB3*$C10*60*50/($B10*0.02*150*20)</f>
        <v/>
      </c>
      <c r="AC10">
        <f>AC3*$C10*60*50/($B10*0.02*150*20)</f>
        <v/>
      </c>
      <c r="AD10">
        <f>AD3*$C10*60*50/($B10*0.02*150*20)</f>
        <v/>
      </c>
      <c r="AE10">
        <f>AE3*$C10*60*50/($B10*0.02*150*20)</f>
        <v/>
      </c>
      <c r="AF10">
        <f>AF3*$C10*60*50/($B10*0.02*150*20)</f>
        <v/>
      </c>
      <c r="AG10">
        <f>AG3*$C10*60*50/($B10*0.02*150*20)</f>
        <v/>
      </c>
    </row>
    <row r="11">
      <c r="A11" t="inlineStr">
        <is>
          <t>EAF10</t>
        </is>
      </c>
      <c r="B11" t="n">
        <v>0.4</v>
      </c>
      <c r="C11" t="n">
        <v>5000</v>
      </c>
      <c r="D11">
        <f>D4*$C11*60*50/($B11*0.02*150*20)</f>
        <v/>
      </c>
      <c r="E11">
        <f>E4*$C11*60*50/($B11*0.02*150*20)</f>
        <v/>
      </c>
      <c r="F11">
        <f>F4*$C11*60*50/($B11*0.02*150*20)</f>
        <v/>
      </c>
      <c r="G11">
        <f>G4*$C11*60*50/($B11*0.02*150*20)</f>
        <v/>
      </c>
      <c r="H11">
        <f>H4*$C11*60*50/($B11*0.02*150*20)</f>
        <v/>
      </c>
      <c r="I11">
        <f>I4*$C11*60*50/($B11*0.02*150*20)</f>
        <v/>
      </c>
      <c r="J11">
        <f>J4*$C11*60*50/($B11*0.02*150*20)</f>
        <v/>
      </c>
      <c r="K11">
        <f>K4*$C11*60*50/($B11*0.02*150*20)</f>
        <v/>
      </c>
      <c r="L11">
        <f>L4*$C11*60*50/($B11*0.02*150*20)</f>
        <v/>
      </c>
      <c r="M11">
        <f>M4*$C11*60*50/($B11*0.02*150*20)</f>
        <v/>
      </c>
      <c r="N11">
        <f>N4*$C11*60*50/($B11*0.02*150*20)</f>
        <v/>
      </c>
      <c r="O11">
        <f>O4*$C11*60*50/($B11*0.02*150*20)</f>
        <v/>
      </c>
      <c r="P11">
        <f>P4*$C11*60*50/($B11*0.02*150*20)</f>
        <v/>
      </c>
      <c r="Q11">
        <f>Q4*$C11*60*50/($B11*0.02*150*20)</f>
        <v/>
      </c>
      <c r="R11">
        <f>R4*$C11*60*50/($B11*0.02*150*20)</f>
        <v/>
      </c>
      <c r="S11">
        <f>S4*$C11*60*50/($B11*0.02*150*20)</f>
        <v/>
      </c>
      <c r="T11">
        <f>T4*$C11*60*50/($B11*0.02*150*20)</f>
        <v/>
      </c>
      <c r="U11">
        <f>U4*$C11*60*50/($B11*0.02*150*20)</f>
        <v/>
      </c>
      <c r="V11">
        <f>V4*$C11*60*50/($B11*0.02*150*20)</f>
        <v/>
      </c>
      <c r="W11">
        <f>W4*$C11*60*50/($B11*0.02*150*20)</f>
        <v/>
      </c>
      <c r="X11">
        <f>X4*$C11*60*50/($B11*0.02*150*20)</f>
        <v/>
      </c>
      <c r="Y11">
        <f>Y4*$C11*60*50/($B11*0.02*150*20)</f>
        <v/>
      </c>
      <c r="Z11">
        <f>Z4*$C11*60*50/($B11*0.02*150*20)</f>
        <v/>
      </c>
      <c r="AA11">
        <f>AA4*$C11*60*50/($B11*0.02*150*20)</f>
        <v/>
      </c>
      <c r="AB11">
        <f>AB4*$C11*60*50/($B11*0.02*150*20)</f>
        <v/>
      </c>
      <c r="AC11">
        <f>AC4*$C11*60*50/($B11*0.02*150*20)</f>
        <v/>
      </c>
      <c r="AD11">
        <f>AD4*$C11*60*50/($B11*0.02*150*20)</f>
        <v/>
      </c>
      <c r="AE11">
        <f>AE4*$C11*60*50/($B11*0.02*150*20)</f>
        <v/>
      </c>
      <c r="AF11">
        <f>AF4*$C11*60*50/($B11*0.02*150*20)</f>
        <v/>
      </c>
      <c r="AG11">
        <f>AG4*$C11*60*50/($B11*0.02*150*20)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TE</t>
        </is>
      </c>
      <c r="C1" t="inlineStr">
        <is>
          <t>Dilutionfactor</t>
        </is>
      </c>
      <c r="D1" t="inlineStr">
        <is>
          <t>Total0.1FPs</t>
        </is>
      </c>
      <c r="E1" t="inlineStr">
        <is>
          <t>23Na</t>
        </is>
      </c>
      <c r="F1" t="inlineStr">
        <is>
          <t>24Mg</t>
        </is>
      </c>
      <c r="G1" t="inlineStr">
        <is>
          <t>27Al</t>
        </is>
      </c>
      <c r="H1" t="inlineStr">
        <is>
          <t>28Si</t>
        </is>
      </c>
      <c r="I1" t="inlineStr">
        <is>
          <t>39K</t>
        </is>
      </c>
      <c r="J1" t="inlineStr">
        <is>
          <t>44Ca</t>
        </is>
      </c>
      <c r="K1" t="inlineStr">
        <is>
          <t>48Ti</t>
        </is>
      </c>
      <c r="L1" t="inlineStr">
        <is>
          <t>51V</t>
        </is>
      </c>
      <c r="M1" t="inlineStr">
        <is>
          <t>52Cr</t>
        </is>
      </c>
      <c r="N1" t="inlineStr">
        <is>
          <t>54Fe</t>
        </is>
      </c>
      <c r="O1" t="inlineStr">
        <is>
          <t>55Mn</t>
        </is>
      </c>
      <c r="P1" t="inlineStr">
        <is>
          <t>59Co</t>
        </is>
      </c>
      <c r="Q1" t="inlineStr">
        <is>
          <t>60Ni</t>
        </is>
      </c>
      <c r="R1" t="inlineStr">
        <is>
          <t>63Cu</t>
        </is>
      </c>
      <c r="S1" t="inlineStr">
        <is>
          <t>66Zn</t>
        </is>
      </c>
      <c r="T1" t="inlineStr">
        <is>
          <t>75As</t>
        </is>
      </c>
      <c r="U1" t="inlineStr">
        <is>
          <t>88Sr</t>
        </is>
      </c>
      <c r="V1" t="inlineStr">
        <is>
          <t>90Zr</t>
        </is>
      </c>
      <c r="W1" t="inlineStr">
        <is>
          <t>93Nb</t>
        </is>
      </c>
      <c r="X1" t="inlineStr">
        <is>
          <t>98Mo</t>
        </is>
      </c>
      <c r="Y1" t="inlineStr">
        <is>
          <t>111Cd</t>
        </is>
      </c>
      <c r="Z1" t="inlineStr">
        <is>
          <t>120Sn</t>
        </is>
      </c>
      <c r="AA1" t="inlineStr">
        <is>
          <t>121Sb</t>
        </is>
      </c>
      <c r="AB1" t="inlineStr">
        <is>
          <t>138Ba</t>
        </is>
      </c>
      <c r="AC1" t="inlineStr">
        <is>
          <t>139La</t>
        </is>
      </c>
      <c r="AD1" t="inlineStr">
        <is>
          <t>140Ce</t>
        </is>
      </c>
      <c r="AE1" t="inlineStr">
        <is>
          <t>184W</t>
        </is>
      </c>
      <c r="AF1" t="inlineStr">
        <is>
          <t>205Tl</t>
        </is>
      </c>
      <c r="AG1" t="inlineStr">
        <is>
          <t>208Pb</t>
        </is>
      </c>
    </row>
    <row r="2">
      <c r="A2" t="inlineStr">
        <is>
          <t>CFPP2</t>
        </is>
      </c>
      <c r="B2" t="n">
        <v>0.4</v>
      </c>
      <c r="C2" t="n">
        <v>1000</v>
      </c>
      <c r="D2" t="n">
        <v>652</v>
      </c>
      <c r="E2" t="n">
        <v>16</v>
      </c>
      <c r="F2" t="n">
        <v>49</v>
      </c>
      <c r="G2" t="n">
        <v>17</v>
      </c>
      <c r="H2" t="n">
        <v>9</v>
      </c>
      <c r="I2" t="n">
        <v>0</v>
      </c>
      <c r="J2" t="n">
        <v>3</v>
      </c>
      <c r="K2" t="n">
        <v>84</v>
      </c>
      <c r="L2" t="n">
        <v>13</v>
      </c>
      <c r="M2" t="n">
        <v>4</v>
      </c>
      <c r="N2" t="n">
        <v>10</v>
      </c>
      <c r="O2" t="n">
        <v>89</v>
      </c>
      <c r="P2" t="n">
        <v>5</v>
      </c>
      <c r="Q2" t="n">
        <v>1</v>
      </c>
      <c r="R2" t="n">
        <v>6</v>
      </c>
      <c r="S2" t="n">
        <v>16</v>
      </c>
      <c r="T2" t="n">
        <v>0</v>
      </c>
      <c r="U2" t="n">
        <v>65</v>
      </c>
      <c r="V2" t="n">
        <v>11</v>
      </c>
      <c r="W2" t="n">
        <v>5</v>
      </c>
      <c r="X2" t="n">
        <v>0</v>
      </c>
      <c r="Y2" t="n">
        <v>0</v>
      </c>
      <c r="Z2" t="n">
        <v>2</v>
      </c>
      <c r="AA2" t="n">
        <v>2</v>
      </c>
      <c r="AB2" t="n">
        <v>115</v>
      </c>
      <c r="AC2" t="n">
        <v>11</v>
      </c>
      <c r="AD2" t="n">
        <v>38</v>
      </c>
      <c r="AE2" t="n">
        <v>0</v>
      </c>
      <c r="AF2" t="n">
        <v>0</v>
      </c>
      <c r="AG2" t="n">
        <v>81</v>
      </c>
    </row>
    <row r="3">
      <c r="A3" t="inlineStr">
        <is>
          <t>COP11</t>
        </is>
      </c>
      <c r="B3" t="n">
        <v>0.4</v>
      </c>
      <c r="C3" t="n">
        <v>1000</v>
      </c>
      <c r="D3" t="n">
        <v>97</v>
      </c>
      <c r="E3" t="n">
        <v>0</v>
      </c>
      <c r="F3" t="n">
        <v>5</v>
      </c>
      <c r="G3" t="n">
        <v>4</v>
      </c>
      <c r="H3" t="n">
        <v>1</v>
      </c>
      <c r="I3" t="n">
        <v>0</v>
      </c>
      <c r="J3" t="n">
        <v>1</v>
      </c>
      <c r="K3" t="n">
        <v>7</v>
      </c>
      <c r="L3" t="n">
        <v>2</v>
      </c>
      <c r="M3" t="n">
        <v>3</v>
      </c>
      <c r="N3" t="n">
        <v>2</v>
      </c>
      <c r="O3" t="n">
        <v>9</v>
      </c>
      <c r="P3" t="n">
        <v>0</v>
      </c>
      <c r="Q3" t="n">
        <v>0</v>
      </c>
      <c r="R3" t="n">
        <v>1</v>
      </c>
      <c r="S3" t="n">
        <v>3</v>
      </c>
      <c r="T3" t="n">
        <v>0</v>
      </c>
      <c r="U3" t="n">
        <v>1</v>
      </c>
      <c r="V3" t="n">
        <v>2</v>
      </c>
      <c r="W3" t="n">
        <v>2</v>
      </c>
      <c r="X3" t="n">
        <v>0</v>
      </c>
      <c r="Y3" t="n">
        <v>0</v>
      </c>
      <c r="Z3" t="n">
        <v>0</v>
      </c>
      <c r="AA3" t="n">
        <v>1</v>
      </c>
      <c r="AB3" t="n">
        <v>13</v>
      </c>
      <c r="AC3" t="n">
        <v>0</v>
      </c>
      <c r="AD3" t="n">
        <v>4</v>
      </c>
      <c r="AE3" t="n">
        <v>0</v>
      </c>
      <c r="AF3" t="n">
        <v>0</v>
      </c>
      <c r="AG3" t="n">
        <v>36</v>
      </c>
    </row>
    <row r="4">
      <c r="A4" t="inlineStr">
        <is>
          <t>EAF10</t>
        </is>
      </c>
      <c r="B4" t="n">
        <v>0.4</v>
      </c>
      <c r="C4" t="n">
        <v>5000</v>
      </c>
      <c r="D4" t="n">
        <v>234</v>
      </c>
      <c r="E4" t="n">
        <v>0</v>
      </c>
      <c r="F4" t="n">
        <v>44</v>
      </c>
      <c r="G4" t="n">
        <v>7</v>
      </c>
      <c r="H4" t="n">
        <v>0</v>
      </c>
      <c r="I4" t="n">
        <v>0</v>
      </c>
      <c r="J4" t="n">
        <v>0</v>
      </c>
      <c r="K4" t="n">
        <v>1</v>
      </c>
      <c r="L4" t="n">
        <v>2</v>
      </c>
      <c r="M4" t="n">
        <v>18</v>
      </c>
      <c r="N4" t="n">
        <v>0</v>
      </c>
      <c r="O4" t="n">
        <v>79</v>
      </c>
      <c r="P4" t="n">
        <v>1</v>
      </c>
      <c r="Q4" t="n">
        <v>1</v>
      </c>
      <c r="R4" t="n">
        <v>11</v>
      </c>
      <c r="S4" t="n">
        <v>7</v>
      </c>
      <c r="T4" t="n">
        <v>0</v>
      </c>
      <c r="U4" t="n">
        <v>0</v>
      </c>
      <c r="V4" t="n">
        <v>0</v>
      </c>
      <c r="W4" t="n">
        <v>0</v>
      </c>
      <c r="X4" t="n">
        <v>2</v>
      </c>
      <c r="Y4" t="n">
        <v>0</v>
      </c>
      <c r="Z4" t="n">
        <v>4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56</v>
      </c>
    </row>
    <row r="6">
      <c r="A6" t="inlineStr">
        <is>
          <t>PNCs(particles/mg)</t>
        </is>
      </c>
    </row>
    <row r="8">
      <c r="A8" t="inlineStr">
        <is>
          <t>sampleID</t>
        </is>
      </c>
      <c r="B8" t="inlineStr">
        <is>
          <t>TE</t>
        </is>
      </c>
      <c r="C8" t="inlineStr">
        <is>
          <t>Dilutionfactor</t>
        </is>
      </c>
      <c r="D8" t="inlineStr">
        <is>
          <t>Total0.1FPs</t>
        </is>
      </c>
      <c r="E8" t="inlineStr">
        <is>
          <t>23Na</t>
        </is>
      </c>
      <c r="F8" t="inlineStr">
        <is>
          <t>24Mg</t>
        </is>
      </c>
      <c r="G8" t="inlineStr">
        <is>
          <t>27Al</t>
        </is>
      </c>
      <c r="H8" t="inlineStr">
        <is>
          <t>28Si</t>
        </is>
      </c>
      <c r="I8" t="inlineStr">
        <is>
          <t>39K</t>
        </is>
      </c>
      <c r="J8" t="inlineStr">
        <is>
          <t>44Ca</t>
        </is>
      </c>
      <c r="K8" t="inlineStr">
        <is>
          <t>48Ti</t>
        </is>
      </c>
      <c r="L8" t="inlineStr">
        <is>
          <t>51V</t>
        </is>
      </c>
      <c r="M8" t="inlineStr">
        <is>
          <t>52Cr</t>
        </is>
      </c>
      <c r="N8" t="inlineStr">
        <is>
          <t>54Fe</t>
        </is>
      </c>
      <c r="O8" t="inlineStr">
        <is>
          <t>55Mn</t>
        </is>
      </c>
      <c r="P8" t="inlineStr">
        <is>
          <t>59Co</t>
        </is>
      </c>
      <c r="Q8" t="inlineStr">
        <is>
          <t>60Ni</t>
        </is>
      </c>
      <c r="R8" t="inlineStr">
        <is>
          <t>63Cu</t>
        </is>
      </c>
      <c r="S8" t="inlineStr">
        <is>
          <t>66Zn</t>
        </is>
      </c>
      <c r="T8" t="inlineStr">
        <is>
          <t>75As</t>
        </is>
      </c>
      <c r="U8" t="inlineStr">
        <is>
          <t>88Sr</t>
        </is>
      </c>
      <c r="V8" t="inlineStr">
        <is>
          <t>90Zr</t>
        </is>
      </c>
      <c r="W8" t="inlineStr">
        <is>
          <t>93Nb</t>
        </is>
      </c>
      <c r="X8" t="inlineStr">
        <is>
          <t>98Mo</t>
        </is>
      </c>
      <c r="Y8" t="inlineStr">
        <is>
          <t>111Cd</t>
        </is>
      </c>
      <c r="Z8" t="inlineStr">
        <is>
          <t>120Sn</t>
        </is>
      </c>
      <c r="AA8" t="inlineStr">
        <is>
          <t>121Sb</t>
        </is>
      </c>
      <c r="AB8" t="inlineStr">
        <is>
          <t>138Ba</t>
        </is>
      </c>
      <c r="AC8" t="inlineStr">
        <is>
          <t>139La</t>
        </is>
      </c>
      <c r="AD8" t="inlineStr">
        <is>
          <t>140Ce</t>
        </is>
      </c>
      <c r="AE8" t="inlineStr">
        <is>
          <t>184W</t>
        </is>
      </c>
      <c r="AF8" t="inlineStr">
        <is>
          <t>205Tl</t>
        </is>
      </c>
      <c r="AG8" t="inlineStr">
        <is>
          <t>208Pb</t>
        </is>
      </c>
    </row>
    <row r="9">
      <c r="A9" t="inlineStr">
        <is>
          <t>CFPP2</t>
        </is>
      </c>
      <c r="B9" t="n">
        <v>0.4</v>
      </c>
      <c r="C9" t="n">
        <v>1000</v>
      </c>
      <c r="D9">
        <f>D2*$C9*60*50/($B9*0.02*150*20)</f>
        <v/>
      </c>
      <c r="E9">
        <f>E2*$C9*60*50/($B9*0.02*150*20)</f>
        <v/>
      </c>
      <c r="F9">
        <f>F2*$C9*60*50/($B9*0.02*150*20)</f>
        <v/>
      </c>
      <c r="G9">
        <f>G2*$C9*60*50/($B9*0.02*150*20)</f>
        <v/>
      </c>
      <c r="H9">
        <f>H2*$C9*60*50/($B9*0.02*150*20)</f>
        <v/>
      </c>
      <c r="I9">
        <f>I2*$C9*60*50/($B9*0.02*150*20)</f>
        <v/>
      </c>
      <c r="J9">
        <f>J2*$C9*60*50/($B9*0.02*150*20)</f>
        <v/>
      </c>
      <c r="K9">
        <f>K2*$C9*60*50/($B9*0.02*150*20)</f>
        <v/>
      </c>
      <c r="L9">
        <f>L2*$C9*60*50/($B9*0.02*150*20)</f>
        <v/>
      </c>
      <c r="M9">
        <f>M2*$C9*60*50/($B9*0.02*150*20)</f>
        <v/>
      </c>
      <c r="N9">
        <f>N2*$C9*60*50/($B9*0.02*150*20)</f>
        <v/>
      </c>
      <c r="O9">
        <f>O2*$C9*60*50/($B9*0.02*150*20)</f>
        <v/>
      </c>
      <c r="P9">
        <f>P2*$C9*60*50/($B9*0.02*150*20)</f>
        <v/>
      </c>
      <c r="Q9">
        <f>Q2*$C9*60*50/($B9*0.02*150*20)</f>
        <v/>
      </c>
      <c r="R9">
        <f>R2*$C9*60*50/($B9*0.02*150*20)</f>
        <v/>
      </c>
      <c r="S9">
        <f>S2*$C9*60*50/($B9*0.02*150*20)</f>
        <v/>
      </c>
      <c r="T9">
        <f>T2*$C9*60*50/($B9*0.02*150*20)</f>
        <v/>
      </c>
      <c r="U9">
        <f>U2*$C9*60*50/($B9*0.02*150*20)</f>
        <v/>
      </c>
      <c r="V9">
        <f>V2*$C9*60*50/($B9*0.02*150*20)</f>
        <v/>
      </c>
      <c r="W9">
        <f>W2*$C9*60*50/($B9*0.02*150*20)</f>
        <v/>
      </c>
      <c r="X9">
        <f>X2*$C9*60*50/($B9*0.02*150*20)</f>
        <v/>
      </c>
      <c r="Y9">
        <f>Y2*$C9*60*50/($B9*0.02*150*20)</f>
        <v/>
      </c>
      <c r="Z9">
        <f>Z2*$C9*60*50/($B9*0.02*150*20)</f>
        <v/>
      </c>
      <c r="AA9">
        <f>AA2*$C9*60*50/($B9*0.02*150*20)</f>
        <v/>
      </c>
      <c r="AB9">
        <f>AB2*$C9*60*50/($B9*0.02*150*20)</f>
        <v/>
      </c>
      <c r="AC9">
        <f>AC2*$C9*60*50/($B9*0.02*150*20)</f>
        <v/>
      </c>
      <c r="AD9">
        <f>AD2*$C9*60*50/($B9*0.02*150*20)</f>
        <v/>
      </c>
      <c r="AE9">
        <f>AE2*$C9*60*50/($B9*0.02*150*20)</f>
        <v/>
      </c>
      <c r="AF9">
        <f>AF2*$C9*60*50/($B9*0.02*150*20)</f>
        <v/>
      </c>
      <c r="AG9">
        <f>AG2*$C9*60*50/($B9*0.02*150*20)</f>
        <v/>
      </c>
    </row>
    <row r="10">
      <c r="A10" t="inlineStr">
        <is>
          <t>COP11</t>
        </is>
      </c>
      <c r="B10" t="n">
        <v>0.4</v>
      </c>
      <c r="C10" t="n">
        <v>1000</v>
      </c>
      <c r="D10">
        <f>D3*$C10*60*50/($B10*0.02*150*20)</f>
        <v/>
      </c>
      <c r="E10">
        <f>E3*$C10*60*50/($B10*0.02*150*20)</f>
        <v/>
      </c>
      <c r="F10">
        <f>F3*$C10*60*50/($B10*0.02*150*20)</f>
        <v/>
      </c>
      <c r="G10">
        <f>G3*$C10*60*50/($B10*0.02*150*20)</f>
        <v/>
      </c>
      <c r="H10">
        <f>H3*$C10*60*50/($B10*0.02*150*20)</f>
        <v/>
      </c>
      <c r="I10">
        <f>I3*$C10*60*50/($B10*0.02*150*20)</f>
        <v/>
      </c>
      <c r="J10">
        <f>J3*$C10*60*50/($B10*0.02*150*20)</f>
        <v/>
      </c>
      <c r="K10">
        <f>K3*$C10*60*50/($B10*0.02*150*20)</f>
        <v/>
      </c>
      <c r="L10">
        <f>L3*$C10*60*50/($B10*0.02*150*20)</f>
        <v/>
      </c>
      <c r="M10">
        <f>M3*$C10*60*50/($B10*0.02*150*20)</f>
        <v/>
      </c>
      <c r="N10">
        <f>N3*$C10*60*50/($B10*0.02*150*20)</f>
        <v/>
      </c>
      <c r="O10">
        <f>O3*$C10*60*50/($B10*0.02*150*20)</f>
        <v/>
      </c>
      <c r="P10">
        <f>P3*$C10*60*50/($B10*0.02*150*20)</f>
        <v/>
      </c>
      <c r="Q10">
        <f>Q3*$C10*60*50/($B10*0.02*150*20)</f>
        <v/>
      </c>
      <c r="R10">
        <f>R3*$C10*60*50/($B10*0.02*150*20)</f>
        <v/>
      </c>
      <c r="S10">
        <f>S3*$C10*60*50/($B10*0.02*150*20)</f>
        <v/>
      </c>
      <c r="T10">
        <f>T3*$C10*60*50/($B10*0.02*150*20)</f>
        <v/>
      </c>
      <c r="U10">
        <f>U3*$C10*60*50/($B10*0.02*150*20)</f>
        <v/>
      </c>
      <c r="V10">
        <f>V3*$C10*60*50/($B10*0.02*150*20)</f>
        <v/>
      </c>
      <c r="W10">
        <f>W3*$C10*60*50/($B10*0.02*150*20)</f>
        <v/>
      </c>
      <c r="X10">
        <f>X3*$C10*60*50/($B10*0.02*150*20)</f>
        <v/>
      </c>
      <c r="Y10">
        <f>Y3*$C10*60*50/($B10*0.02*150*20)</f>
        <v/>
      </c>
      <c r="Z10">
        <f>Z3*$C10*60*50/($B10*0.02*150*20)</f>
        <v/>
      </c>
      <c r="AA10">
        <f>AA3*$C10*60*50/($B10*0.02*150*20)</f>
        <v/>
      </c>
      <c r="AB10">
        <f>AB3*$C10*60*50/($B10*0.02*150*20)</f>
        <v/>
      </c>
      <c r="AC10">
        <f>AC3*$C10*60*50/($B10*0.02*150*20)</f>
        <v/>
      </c>
      <c r="AD10">
        <f>AD3*$C10*60*50/($B10*0.02*150*20)</f>
        <v/>
      </c>
      <c r="AE10">
        <f>AE3*$C10*60*50/($B10*0.02*150*20)</f>
        <v/>
      </c>
      <c r="AF10">
        <f>AF3*$C10*60*50/($B10*0.02*150*20)</f>
        <v/>
      </c>
      <c r="AG10">
        <f>AG3*$C10*60*50/($B10*0.02*150*20)</f>
        <v/>
      </c>
    </row>
    <row r="11">
      <c r="A11" t="inlineStr">
        <is>
          <t>EAF10</t>
        </is>
      </c>
      <c r="B11" t="n">
        <v>0.4</v>
      </c>
      <c r="C11" t="n">
        <v>5000</v>
      </c>
      <c r="D11">
        <f>D4*$C11*60*50/($B11*0.02*150*20)</f>
        <v/>
      </c>
      <c r="E11">
        <f>E4*$C11*60*50/($B11*0.02*150*20)</f>
        <v/>
      </c>
      <c r="F11">
        <f>F4*$C11*60*50/($B11*0.02*150*20)</f>
        <v/>
      </c>
      <c r="G11">
        <f>G4*$C11*60*50/($B11*0.02*150*20)</f>
        <v/>
      </c>
      <c r="H11">
        <f>H4*$C11*60*50/($B11*0.02*150*20)</f>
        <v/>
      </c>
      <c r="I11">
        <f>I4*$C11*60*50/($B11*0.02*150*20)</f>
        <v/>
      </c>
      <c r="J11">
        <f>J4*$C11*60*50/($B11*0.02*150*20)</f>
        <v/>
      </c>
      <c r="K11">
        <f>K4*$C11*60*50/($B11*0.02*150*20)</f>
        <v/>
      </c>
      <c r="L11">
        <f>L4*$C11*60*50/($B11*0.02*150*20)</f>
        <v/>
      </c>
      <c r="M11">
        <f>M4*$C11*60*50/($B11*0.02*150*20)</f>
        <v/>
      </c>
      <c r="N11">
        <f>N4*$C11*60*50/($B11*0.02*150*20)</f>
        <v/>
      </c>
      <c r="O11">
        <f>O4*$C11*60*50/($B11*0.02*150*20)</f>
        <v/>
      </c>
      <c r="P11">
        <f>P4*$C11*60*50/($B11*0.02*150*20)</f>
        <v/>
      </c>
      <c r="Q11">
        <f>Q4*$C11*60*50/($B11*0.02*150*20)</f>
        <v/>
      </c>
      <c r="R11">
        <f>R4*$C11*60*50/($B11*0.02*150*20)</f>
        <v/>
      </c>
      <c r="S11">
        <f>S4*$C11*60*50/($B11*0.02*150*20)</f>
        <v/>
      </c>
      <c r="T11">
        <f>T4*$C11*60*50/($B11*0.02*150*20)</f>
        <v/>
      </c>
      <c r="U11">
        <f>U4*$C11*60*50/($B11*0.02*150*20)</f>
        <v/>
      </c>
      <c r="V11">
        <f>V4*$C11*60*50/($B11*0.02*150*20)</f>
        <v/>
      </c>
      <c r="W11">
        <f>W4*$C11*60*50/($B11*0.02*150*20)</f>
        <v/>
      </c>
      <c r="X11">
        <f>X4*$C11*60*50/($B11*0.02*150*20)</f>
        <v/>
      </c>
      <c r="Y11">
        <f>Y4*$C11*60*50/($B11*0.02*150*20)</f>
        <v/>
      </c>
      <c r="Z11">
        <f>Z4*$C11*60*50/($B11*0.02*150*20)</f>
        <v/>
      </c>
      <c r="AA11">
        <f>AA4*$C11*60*50/($B11*0.02*150*20)</f>
        <v/>
      </c>
      <c r="AB11">
        <f>AB4*$C11*60*50/($B11*0.02*150*20)</f>
        <v/>
      </c>
      <c r="AC11">
        <f>AC4*$C11*60*50/($B11*0.02*150*20)</f>
        <v/>
      </c>
      <c r="AD11">
        <f>AD4*$C11*60*50/($B11*0.02*150*20)</f>
        <v/>
      </c>
      <c r="AE11">
        <f>AE4*$C11*60*50/($B11*0.02*150*20)</f>
        <v/>
      </c>
      <c r="AF11">
        <f>AF4*$C11*60*50/($B11*0.02*150*20)</f>
        <v/>
      </c>
      <c r="AG11">
        <f>AG4*$C11*60*50/($B11*0.02*150*20)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TE</t>
        </is>
      </c>
      <c r="C1" t="inlineStr">
        <is>
          <t>Dilutionfactor</t>
        </is>
      </c>
      <c r="D1" t="inlineStr">
        <is>
          <t>Total0.1-0.4FPs</t>
        </is>
      </c>
      <c r="E1" t="inlineStr">
        <is>
          <t>23Na</t>
        </is>
      </c>
      <c r="F1" t="inlineStr">
        <is>
          <t>24Mg</t>
        </is>
      </c>
      <c r="G1" t="inlineStr">
        <is>
          <t>27Al</t>
        </is>
      </c>
      <c r="H1" t="inlineStr">
        <is>
          <t>28Si</t>
        </is>
      </c>
      <c r="I1" t="inlineStr">
        <is>
          <t>39K</t>
        </is>
      </c>
      <c r="J1" t="inlineStr">
        <is>
          <t>44Ca</t>
        </is>
      </c>
      <c r="K1" t="inlineStr">
        <is>
          <t>48Ti</t>
        </is>
      </c>
      <c r="L1" t="inlineStr">
        <is>
          <t>51V</t>
        </is>
      </c>
      <c r="M1" t="inlineStr">
        <is>
          <t>52Cr</t>
        </is>
      </c>
      <c r="N1" t="inlineStr">
        <is>
          <t>54Fe</t>
        </is>
      </c>
      <c r="O1" t="inlineStr">
        <is>
          <t>55Mn</t>
        </is>
      </c>
      <c r="P1" t="inlineStr">
        <is>
          <t>59Co</t>
        </is>
      </c>
      <c r="Q1" t="inlineStr">
        <is>
          <t>60Ni</t>
        </is>
      </c>
      <c r="R1" t="inlineStr">
        <is>
          <t>63Cu</t>
        </is>
      </c>
      <c r="S1" t="inlineStr">
        <is>
          <t>66Zn</t>
        </is>
      </c>
      <c r="T1" t="inlineStr">
        <is>
          <t>75As</t>
        </is>
      </c>
      <c r="U1" t="inlineStr">
        <is>
          <t>88Sr</t>
        </is>
      </c>
      <c r="V1" t="inlineStr">
        <is>
          <t>90Zr</t>
        </is>
      </c>
      <c r="W1" t="inlineStr">
        <is>
          <t>93Nb</t>
        </is>
      </c>
      <c r="X1" t="inlineStr">
        <is>
          <t>98Mo</t>
        </is>
      </c>
      <c r="Y1" t="inlineStr">
        <is>
          <t>111Cd</t>
        </is>
      </c>
      <c r="Z1" t="inlineStr">
        <is>
          <t>120Sn</t>
        </is>
      </c>
      <c r="AA1" t="inlineStr">
        <is>
          <t>121Sb</t>
        </is>
      </c>
      <c r="AB1" t="inlineStr">
        <is>
          <t>138Ba</t>
        </is>
      </c>
      <c r="AC1" t="inlineStr">
        <is>
          <t>139La</t>
        </is>
      </c>
      <c r="AD1" t="inlineStr">
        <is>
          <t>140Ce</t>
        </is>
      </c>
      <c r="AE1" t="inlineStr">
        <is>
          <t>184W</t>
        </is>
      </c>
      <c r="AF1" t="inlineStr">
        <is>
          <t>205Tl</t>
        </is>
      </c>
      <c r="AG1" t="inlineStr">
        <is>
          <t>208Pb</t>
        </is>
      </c>
    </row>
    <row r="2">
      <c r="A2" t="inlineStr">
        <is>
          <t>CFPP2</t>
        </is>
      </c>
      <c r="B2" t="n">
        <v>0.4</v>
      </c>
      <c r="C2" t="n">
        <v>1000</v>
      </c>
      <c r="D2" t="n">
        <v>205</v>
      </c>
      <c r="E2" t="n">
        <v>8</v>
      </c>
      <c r="F2" t="n">
        <v>27</v>
      </c>
      <c r="G2" t="n">
        <v>29</v>
      </c>
      <c r="H2" t="n">
        <v>8</v>
      </c>
      <c r="I2" t="n">
        <v>1</v>
      </c>
      <c r="J2" t="n">
        <v>8</v>
      </c>
      <c r="K2" t="n">
        <v>29</v>
      </c>
      <c r="L2" t="n">
        <v>1</v>
      </c>
      <c r="M2" t="n">
        <v>4</v>
      </c>
      <c r="N2" t="n">
        <v>53</v>
      </c>
      <c r="O2" t="n">
        <v>10</v>
      </c>
      <c r="P2" t="n">
        <v>0</v>
      </c>
      <c r="Q2" t="n">
        <v>0</v>
      </c>
      <c r="R2" t="n">
        <v>1</v>
      </c>
      <c r="S2" t="n">
        <v>3</v>
      </c>
      <c r="T2" t="n">
        <v>0</v>
      </c>
      <c r="U2" t="n">
        <v>3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16</v>
      </c>
      <c r="AC2" t="n">
        <v>0</v>
      </c>
      <c r="AD2" t="n">
        <v>0</v>
      </c>
      <c r="AE2" t="n">
        <v>0</v>
      </c>
      <c r="AF2" t="n">
        <v>0</v>
      </c>
      <c r="AG2" t="n">
        <v>3</v>
      </c>
    </row>
    <row r="3">
      <c r="A3" t="inlineStr">
        <is>
          <t>COP11</t>
        </is>
      </c>
      <c r="B3" t="n">
        <v>0.4</v>
      </c>
      <c r="C3" t="n">
        <v>1000</v>
      </c>
      <c r="D3" t="n">
        <v>84</v>
      </c>
      <c r="E3" t="n">
        <v>3</v>
      </c>
      <c r="F3" t="n">
        <v>4</v>
      </c>
      <c r="G3" t="n">
        <v>16</v>
      </c>
      <c r="H3" t="n">
        <v>2</v>
      </c>
      <c r="I3" t="n">
        <v>1</v>
      </c>
      <c r="J3" t="n">
        <v>0</v>
      </c>
      <c r="K3" t="n">
        <v>6</v>
      </c>
      <c r="L3" t="n">
        <v>0</v>
      </c>
      <c r="M3" t="n">
        <v>0</v>
      </c>
      <c r="N3" t="n">
        <v>4</v>
      </c>
      <c r="O3" t="n">
        <v>4</v>
      </c>
      <c r="P3" t="n">
        <v>0</v>
      </c>
      <c r="Q3" t="n">
        <v>0</v>
      </c>
      <c r="R3" t="n">
        <v>0</v>
      </c>
      <c r="S3" t="n">
        <v>6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3</v>
      </c>
      <c r="AA3" t="n">
        <v>1</v>
      </c>
      <c r="AB3" t="n">
        <v>3</v>
      </c>
      <c r="AC3" t="n">
        <v>1</v>
      </c>
      <c r="AD3" t="n">
        <v>0</v>
      </c>
      <c r="AE3" t="n">
        <v>0</v>
      </c>
      <c r="AF3" t="n">
        <v>0</v>
      </c>
      <c r="AG3" t="n">
        <v>28</v>
      </c>
    </row>
    <row r="4">
      <c r="A4" t="inlineStr">
        <is>
          <t>EAF10</t>
        </is>
      </c>
      <c r="B4" t="n">
        <v>0.4</v>
      </c>
      <c r="C4" t="n">
        <v>5000</v>
      </c>
      <c r="D4" t="n">
        <v>337</v>
      </c>
      <c r="E4" t="n">
        <v>0</v>
      </c>
      <c r="F4" t="n">
        <v>38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</v>
      </c>
      <c r="N4" t="n">
        <v>56</v>
      </c>
      <c r="O4" t="n">
        <v>143</v>
      </c>
      <c r="P4" t="n">
        <v>0</v>
      </c>
      <c r="Q4" t="n">
        <v>0</v>
      </c>
      <c r="R4" t="n">
        <v>0</v>
      </c>
      <c r="S4" t="n">
        <v>83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3</v>
      </c>
      <c r="AF4" t="n">
        <v>0</v>
      </c>
      <c r="AG4" t="n">
        <v>3</v>
      </c>
    </row>
    <row r="6">
      <c r="A6" t="inlineStr">
        <is>
          <t>PNCs(particles/mg)</t>
        </is>
      </c>
    </row>
    <row r="8">
      <c r="A8" t="inlineStr">
        <is>
          <t>sampleID</t>
        </is>
      </c>
      <c r="B8" t="inlineStr">
        <is>
          <t>TE</t>
        </is>
      </c>
      <c r="C8" t="inlineStr">
        <is>
          <t>Dilutionfactor</t>
        </is>
      </c>
      <c r="D8" t="inlineStr">
        <is>
          <t>Total0.1-0.4FPs</t>
        </is>
      </c>
      <c r="E8" t="inlineStr">
        <is>
          <t>23Na</t>
        </is>
      </c>
      <c r="F8" t="inlineStr">
        <is>
          <t>24Mg</t>
        </is>
      </c>
      <c r="G8" t="inlineStr">
        <is>
          <t>27Al</t>
        </is>
      </c>
      <c r="H8" t="inlineStr">
        <is>
          <t>28Si</t>
        </is>
      </c>
      <c r="I8" t="inlineStr">
        <is>
          <t>39K</t>
        </is>
      </c>
      <c r="J8" t="inlineStr">
        <is>
          <t>44Ca</t>
        </is>
      </c>
      <c r="K8" t="inlineStr">
        <is>
          <t>48Ti</t>
        </is>
      </c>
      <c r="L8" t="inlineStr">
        <is>
          <t>51V</t>
        </is>
      </c>
      <c r="M8" t="inlineStr">
        <is>
          <t>52Cr</t>
        </is>
      </c>
      <c r="N8" t="inlineStr">
        <is>
          <t>54Fe</t>
        </is>
      </c>
      <c r="O8" t="inlineStr">
        <is>
          <t>55Mn</t>
        </is>
      </c>
      <c r="P8" t="inlineStr">
        <is>
          <t>59Co</t>
        </is>
      </c>
      <c r="Q8" t="inlineStr">
        <is>
          <t>60Ni</t>
        </is>
      </c>
      <c r="R8" t="inlineStr">
        <is>
          <t>63Cu</t>
        </is>
      </c>
      <c r="S8" t="inlineStr">
        <is>
          <t>66Zn</t>
        </is>
      </c>
      <c r="T8" t="inlineStr">
        <is>
          <t>75As</t>
        </is>
      </c>
      <c r="U8" t="inlineStr">
        <is>
          <t>88Sr</t>
        </is>
      </c>
      <c r="V8" t="inlineStr">
        <is>
          <t>90Zr</t>
        </is>
      </c>
      <c r="W8" t="inlineStr">
        <is>
          <t>93Nb</t>
        </is>
      </c>
      <c r="X8" t="inlineStr">
        <is>
          <t>98Mo</t>
        </is>
      </c>
      <c r="Y8" t="inlineStr">
        <is>
          <t>111Cd</t>
        </is>
      </c>
      <c r="Z8" t="inlineStr">
        <is>
          <t>120Sn</t>
        </is>
      </c>
      <c r="AA8" t="inlineStr">
        <is>
          <t>121Sb</t>
        </is>
      </c>
      <c r="AB8" t="inlineStr">
        <is>
          <t>138Ba</t>
        </is>
      </c>
      <c r="AC8" t="inlineStr">
        <is>
          <t>139La</t>
        </is>
      </c>
      <c r="AD8" t="inlineStr">
        <is>
          <t>140Ce</t>
        </is>
      </c>
      <c r="AE8" t="inlineStr">
        <is>
          <t>184W</t>
        </is>
      </c>
      <c r="AF8" t="inlineStr">
        <is>
          <t>205Tl</t>
        </is>
      </c>
      <c r="AG8" t="inlineStr">
        <is>
          <t>208Pb</t>
        </is>
      </c>
    </row>
    <row r="9">
      <c r="A9" t="inlineStr">
        <is>
          <t>CFPP2</t>
        </is>
      </c>
      <c r="B9" t="n">
        <v>0.4</v>
      </c>
      <c r="C9" t="n">
        <v>1000</v>
      </c>
      <c r="D9">
        <f>D2*$C9*60*50/($B9*0.02*150*20)</f>
        <v/>
      </c>
      <c r="E9">
        <f>E2*$C9*60*50/($B9*0.02*150*20)</f>
        <v/>
      </c>
      <c r="F9">
        <f>F2*$C9*60*50/($B9*0.02*150*20)</f>
        <v/>
      </c>
      <c r="G9">
        <f>G2*$C9*60*50/($B9*0.02*150*20)</f>
        <v/>
      </c>
      <c r="H9">
        <f>H2*$C9*60*50/($B9*0.02*150*20)</f>
        <v/>
      </c>
      <c r="I9">
        <f>I2*$C9*60*50/($B9*0.02*150*20)</f>
        <v/>
      </c>
      <c r="J9">
        <f>J2*$C9*60*50/($B9*0.02*150*20)</f>
        <v/>
      </c>
      <c r="K9">
        <f>K2*$C9*60*50/($B9*0.02*150*20)</f>
        <v/>
      </c>
      <c r="L9">
        <f>L2*$C9*60*50/($B9*0.02*150*20)</f>
        <v/>
      </c>
      <c r="M9">
        <f>M2*$C9*60*50/($B9*0.02*150*20)</f>
        <v/>
      </c>
      <c r="N9">
        <f>N2*$C9*60*50/($B9*0.02*150*20)</f>
        <v/>
      </c>
      <c r="O9">
        <f>O2*$C9*60*50/($B9*0.02*150*20)</f>
        <v/>
      </c>
      <c r="P9">
        <f>P2*$C9*60*50/($B9*0.02*150*20)</f>
        <v/>
      </c>
      <c r="Q9">
        <f>Q2*$C9*60*50/($B9*0.02*150*20)</f>
        <v/>
      </c>
      <c r="R9">
        <f>R2*$C9*60*50/($B9*0.02*150*20)</f>
        <v/>
      </c>
      <c r="S9">
        <f>S2*$C9*60*50/($B9*0.02*150*20)</f>
        <v/>
      </c>
      <c r="T9">
        <f>T2*$C9*60*50/($B9*0.02*150*20)</f>
        <v/>
      </c>
      <c r="U9">
        <f>U2*$C9*60*50/($B9*0.02*150*20)</f>
        <v/>
      </c>
      <c r="V9">
        <f>V2*$C9*60*50/($B9*0.02*150*20)</f>
        <v/>
      </c>
      <c r="W9">
        <f>W2*$C9*60*50/($B9*0.02*150*20)</f>
        <v/>
      </c>
      <c r="X9">
        <f>X2*$C9*60*50/($B9*0.02*150*20)</f>
        <v/>
      </c>
      <c r="Y9">
        <f>Y2*$C9*60*50/($B9*0.02*150*20)</f>
        <v/>
      </c>
      <c r="Z9">
        <f>Z2*$C9*60*50/($B9*0.02*150*20)</f>
        <v/>
      </c>
      <c r="AA9">
        <f>AA2*$C9*60*50/($B9*0.02*150*20)</f>
        <v/>
      </c>
      <c r="AB9">
        <f>AB2*$C9*60*50/($B9*0.02*150*20)</f>
        <v/>
      </c>
      <c r="AC9">
        <f>AC2*$C9*60*50/($B9*0.02*150*20)</f>
        <v/>
      </c>
      <c r="AD9">
        <f>AD2*$C9*60*50/($B9*0.02*150*20)</f>
        <v/>
      </c>
      <c r="AE9">
        <f>AE2*$C9*60*50/($B9*0.02*150*20)</f>
        <v/>
      </c>
      <c r="AF9">
        <f>AF2*$C9*60*50/($B9*0.02*150*20)</f>
        <v/>
      </c>
      <c r="AG9">
        <f>AG2*$C9*60*50/($B9*0.02*150*20)</f>
        <v/>
      </c>
    </row>
    <row r="10">
      <c r="A10" t="inlineStr">
        <is>
          <t>COP11</t>
        </is>
      </c>
      <c r="B10" t="n">
        <v>0.4</v>
      </c>
      <c r="C10" t="n">
        <v>1000</v>
      </c>
      <c r="D10">
        <f>D3*$C10*60*50/($B10*0.02*150*20)</f>
        <v/>
      </c>
      <c r="E10">
        <f>E3*$C10*60*50/($B10*0.02*150*20)</f>
        <v/>
      </c>
      <c r="F10">
        <f>F3*$C10*60*50/($B10*0.02*150*20)</f>
        <v/>
      </c>
      <c r="G10">
        <f>G3*$C10*60*50/($B10*0.02*150*20)</f>
        <v/>
      </c>
      <c r="H10">
        <f>H3*$C10*60*50/($B10*0.02*150*20)</f>
        <v/>
      </c>
      <c r="I10">
        <f>I3*$C10*60*50/($B10*0.02*150*20)</f>
        <v/>
      </c>
      <c r="J10">
        <f>J3*$C10*60*50/($B10*0.02*150*20)</f>
        <v/>
      </c>
      <c r="K10">
        <f>K3*$C10*60*50/($B10*0.02*150*20)</f>
        <v/>
      </c>
      <c r="L10">
        <f>L3*$C10*60*50/($B10*0.02*150*20)</f>
        <v/>
      </c>
      <c r="M10">
        <f>M3*$C10*60*50/($B10*0.02*150*20)</f>
        <v/>
      </c>
      <c r="N10">
        <f>N3*$C10*60*50/($B10*0.02*150*20)</f>
        <v/>
      </c>
      <c r="O10">
        <f>O3*$C10*60*50/($B10*0.02*150*20)</f>
        <v/>
      </c>
      <c r="P10">
        <f>P3*$C10*60*50/($B10*0.02*150*20)</f>
        <v/>
      </c>
      <c r="Q10">
        <f>Q3*$C10*60*50/($B10*0.02*150*20)</f>
        <v/>
      </c>
      <c r="R10">
        <f>R3*$C10*60*50/($B10*0.02*150*20)</f>
        <v/>
      </c>
      <c r="S10">
        <f>S3*$C10*60*50/($B10*0.02*150*20)</f>
        <v/>
      </c>
      <c r="T10">
        <f>T3*$C10*60*50/($B10*0.02*150*20)</f>
        <v/>
      </c>
      <c r="U10">
        <f>U3*$C10*60*50/($B10*0.02*150*20)</f>
        <v/>
      </c>
      <c r="V10">
        <f>V3*$C10*60*50/($B10*0.02*150*20)</f>
        <v/>
      </c>
      <c r="W10">
        <f>W3*$C10*60*50/($B10*0.02*150*20)</f>
        <v/>
      </c>
      <c r="X10">
        <f>X3*$C10*60*50/($B10*0.02*150*20)</f>
        <v/>
      </c>
      <c r="Y10">
        <f>Y3*$C10*60*50/($B10*0.02*150*20)</f>
        <v/>
      </c>
      <c r="Z10">
        <f>Z3*$C10*60*50/($B10*0.02*150*20)</f>
        <v/>
      </c>
      <c r="AA10">
        <f>AA3*$C10*60*50/($B10*0.02*150*20)</f>
        <v/>
      </c>
      <c r="AB10">
        <f>AB3*$C10*60*50/($B10*0.02*150*20)</f>
        <v/>
      </c>
      <c r="AC10">
        <f>AC3*$C10*60*50/($B10*0.02*150*20)</f>
        <v/>
      </c>
      <c r="AD10">
        <f>AD3*$C10*60*50/($B10*0.02*150*20)</f>
        <v/>
      </c>
      <c r="AE10">
        <f>AE3*$C10*60*50/($B10*0.02*150*20)</f>
        <v/>
      </c>
      <c r="AF10">
        <f>AF3*$C10*60*50/($B10*0.02*150*20)</f>
        <v/>
      </c>
      <c r="AG10">
        <f>AG3*$C10*60*50/($B10*0.02*150*20)</f>
        <v/>
      </c>
    </row>
    <row r="11">
      <c r="A11" t="inlineStr">
        <is>
          <t>EAF10</t>
        </is>
      </c>
      <c r="B11" t="n">
        <v>0.4</v>
      </c>
      <c r="C11" t="n">
        <v>5000</v>
      </c>
      <c r="D11">
        <f>D4*$C11*60*50/($B11*0.02*150*20)</f>
        <v/>
      </c>
      <c r="E11">
        <f>E4*$C11*60*50/($B11*0.02*150*20)</f>
        <v/>
      </c>
      <c r="F11">
        <f>F4*$C11*60*50/($B11*0.02*150*20)</f>
        <v/>
      </c>
      <c r="G11">
        <f>G4*$C11*60*50/($B11*0.02*150*20)</f>
        <v/>
      </c>
      <c r="H11">
        <f>H4*$C11*60*50/($B11*0.02*150*20)</f>
        <v/>
      </c>
      <c r="I11">
        <f>I4*$C11*60*50/($B11*0.02*150*20)</f>
        <v/>
      </c>
      <c r="J11">
        <f>J4*$C11*60*50/($B11*0.02*150*20)</f>
        <v/>
      </c>
      <c r="K11">
        <f>K4*$C11*60*50/($B11*0.02*150*20)</f>
        <v/>
      </c>
      <c r="L11">
        <f>L4*$C11*60*50/($B11*0.02*150*20)</f>
        <v/>
      </c>
      <c r="M11">
        <f>M4*$C11*60*50/($B11*0.02*150*20)</f>
        <v/>
      </c>
      <c r="N11">
        <f>N4*$C11*60*50/($B11*0.02*150*20)</f>
        <v/>
      </c>
      <c r="O11">
        <f>O4*$C11*60*50/($B11*0.02*150*20)</f>
        <v/>
      </c>
      <c r="P11">
        <f>P4*$C11*60*50/($B11*0.02*150*20)</f>
        <v/>
      </c>
      <c r="Q11">
        <f>Q4*$C11*60*50/($B11*0.02*150*20)</f>
        <v/>
      </c>
      <c r="R11">
        <f>R4*$C11*60*50/($B11*0.02*150*20)</f>
        <v/>
      </c>
      <c r="S11">
        <f>S4*$C11*60*50/($B11*0.02*150*20)</f>
        <v/>
      </c>
      <c r="T11">
        <f>T4*$C11*60*50/($B11*0.02*150*20)</f>
        <v/>
      </c>
      <c r="U11">
        <f>U4*$C11*60*50/($B11*0.02*150*20)</f>
        <v/>
      </c>
      <c r="V11">
        <f>V4*$C11*60*50/($B11*0.02*150*20)</f>
        <v/>
      </c>
      <c r="W11">
        <f>W4*$C11*60*50/($B11*0.02*150*20)</f>
        <v/>
      </c>
      <c r="X11">
        <f>X4*$C11*60*50/($B11*0.02*150*20)</f>
        <v/>
      </c>
      <c r="Y11">
        <f>Y4*$C11*60*50/($B11*0.02*150*20)</f>
        <v/>
      </c>
      <c r="Z11">
        <f>Z4*$C11*60*50/($B11*0.02*150*20)</f>
        <v/>
      </c>
      <c r="AA11">
        <f>AA4*$C11*60*50/($B11*0.02*150*20)</f>
        <v/>
      </c>
      <c r="AB11">
        <f>AB4*$C11*60*50/($B11*0.02*150*20)</f>
        <v/>
      </c>
      <c r="AC11">
        <f>AC4*$C11*60*50/($B11*0.02*150*20)</f>
        <v/>
      </c>
      <c r="AD11">
        <f>AD4*$C11*60*50/($B11*0.02*150*20)</f>
        <v/>
      </c>
      <c r="AE11">
        <f>AE4*$C11*60*50/($B11*0.02*150*20)</f>
        <v/>
      </c>
      <c r="AF11">
        <f>AF4*$C11*60*50/($B11*0.02*150*20)</f>
        <v/>
      </c>
      <c r="AG11">
        <f>AG4*$C11*60*50/($B11*0.02*150*20)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TE</t>
        </is>
      </c>
      <c r="C1" t="inlineStr">
        <is>
          <t>Dilutionfactor</t>
        </is>
      </c>
      <c r="D1" t="inlineStr">
        <is>
          <t>Total0.4-1FPs</t>
        </is>
      </c>
      <c r="E1" t="inlineStr">
        <is>
          <t>23Na</t>
        </is>
      </c>
      <c r="F1" t="inlineStr">
        <is>
          <t>24Mg</t>
        </is>
      </c>
      <c r="G1" t="inlineStr">
        <is>
          <t>27Al</t>
        </is>
      </c>
      <c r="H1" t="inlineStr">
        <is>
          <t>28Si</t>
        </is>
      </c>
      <c r="I1" t="inlineStr">
        <is>
          <t>39K</t>
        </is>
      </c>
      <c r="J1" t="inlineStr">
        <is>
          <t>44Ca</t>
        </is>
      </c>
      <c r="K1" t="inlineStr">
        <is>
          <t>48Ti</t>
        </is>
      </c>
      <c r="L1" t="inlineStr">
        <is>
          <t>51V</t>
        </is>
      </c>
      <c r="M1" t="inlineStr">
        <is>
          <t>52Cr</t>
        </is>
      </c>
      <c r="N1" t="inlineStr">
        <is>
          <t>54Fe</t>
        </is>
      </c>
      <c r="O1" t="inlineStr">
        <is>
          <t>55Mn</t>
        </is>
      </c>
      <c r="P1" t="inlineStr">
        <is>
          <t>59Co</t>
        </is>
      </c>
      <c r="Q1" t="inlineStr">
        <is>
          <t>60Ni</t>
        </is>
      </c>
      <c r="R1" t="inlineStr">
        <is>
          <t>63Cu</t>
        </is>
      </c>
      <c r="S1" t="inlineStr">
        <is>
          <t>66Zn</t>
        </is>
      </c>
      <c r="T1" t="inlineStr">
        <is>
          <t>75As</t>
        </is>
      </c>
      <c r="U1" t="inlineStr">
        <is>
          <t>88Sr</t>
        </is>
      </c>
      <c r="V1" t="inlineStr">
        <is>
          <t>90Zr</t>
        </is>
      </c>
      <c r="W1" t="inlineStr">
        <is>
          <t>93Nb</t>
        </is>
      </c>
      <c r="X1" t="inlineStr">
        <is>
          <t>98Mo</t>
        </is>
      </c>
      <c r="Y1" t="inlineStr">
        <is>
          <t>111Cd</t>
        </is>
      </c>
      <c r="Z1" t="inlineStr">
        <is>
          <t>120Sn</t>
        </is>
      </c>
      <c r="AA1" t="inlineStr">
        <is>
          <t>121Sb</t>
        </is>
      </c>
      <c r="AB1" t="inlineStr">
        <is>
          <t>138Ba</t>
        </is>
      </c>
      <c r="AC1" t="inlineStr">
        <is>
          <t>139La</t>
        </is>
      </c>
      <c r="AD1" t="inlineStr">
        <is>
          <t>140Ce</t>
        </is>
      </c>
      <c r="AE1" t="inlineStr">
        <is>
          <t>184W</t>
        </is>
      </c>
      <c r="AF1" t="inlineStr">
        <is>
          <t>205Tl</t>
        </is>
      </c>
      <c r="AG1" t="inlineStr">
        <is>
          <t>208Pb</t>
        </is>
      </c>
    </row>
    <row r="2">
      <c r="A2" t="inlineStr">
        <is>
          <t>CFPP2</t>
        </is>
      </c>
      <c r="B2" t="n">
        <v>0.4</v>
      </c>
      <c r="C2" t="n">
        <v>1000</v>
      </c>
      <c r="D2" t="n">
        <v>192</v>
      </c>
      <c r="E2" t="n">
        <v>0</v>
      </c>
      <c r="F2" t="n">
        <v>5</v>
      </c>
      <c r="G2" t="n">
        <v>120</v>
      </c>
      <c r="H2" t="n">
        <v>5</v>
      </c>
      <c r="I2" t="n">
        <v>3</v>
      </c>
      <c r="J2" t="n">
        <v>1</v>
      </c>
      <c r="K2" t="n">
        <v>6</v>
      </c>
      <c r="L2" t="n">
        <v>0</v>
      </c>
      <c r="M2" t="n">
        <v>1</v>
      </c>
      <c r="N2" t="n">
        <v>41</v>
      </c>
      <c r="O2" t="n">
        <v>8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COP11</t>
        </is>
      </c>
      <c r="B3" t="n">
        <v>0.4</v>
      </c>
      <c r="C3" t="n">
        <v>1000</v>
      </c>
      <c r="D3" t="n">
        <v>88</v>
      </c>
      <c r="E3" t="n">
        <v>4</v>
      </c>
      <c r="F3" t="n">
        <v>1</v>
      </c>
      <c r="G3" t="n">
        <v>35</v>
      </c>
      <c r="H3" t="n">
        <v>1</v>
      </c>
      <c r="I3" t="n">
        <v>2</v>
      </c>
      <c r="J3" t="n">
        <v>0</v>
      </c>
      <c r="K3" t="n">
        <v>5</v>
      </c>
      <c r="L3" t="n">
        <v>0</v>
      </c>
      <c r="M3" t="n">
        <v>1</v>
      </c>
      <c r="N3" t="n">
        <v>10</v>
      </c>
      <c r="O3" t="n">
        <v>4</v>
      </c>
      <c r="P3" t="n">
        <v>0</v>
      </c>
      <c r="Q3" t="n">
        <v>1</v>
      </c>
      <c r="R3" t="n">
        <v>0</v>
      </c>
      <c r="S3" t="n">
        <v>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9</v>
      </c>
    </row>
    <row r="4">
      <c r="A4" t="inlineStr">
        <is>
          <t>EAF10</t>
        </is>
      </c>
      <c r="B4" t="n">
        <v>0.4</v>
      </c>
      <c r="C4" t="n">
        <v>5000</v>
      </c>
      <c r="D4" t="n">
        <v>266</v>
      </c>
      <c r="E4" t="n">
        <v>0</v>
      </c>
      <c r="F4" t="n">
        <v>2</v>
      </c>
      <c r="G4" t="n">
        <v>2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2</v>
      </c>
      <c r="N4" t="n">
        <v>88</v>
      </c>
      <c r="O4" t="n">
        <v>25</v>
      </c>
      <c r="P4" t="n">
        <v>0</v>
      </c>
      <c r="Q4" t="n">
        <v>0</v>
      </c>
      <c r="R4" t="n">
        <v>1</v>
      </c>
      <c r="S4" t="n">
        <v>145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6">
      <c r="A6" t="inlineStr">
        <is>
          <t>PNCs(particles/mg)</t>
        </is>
      </c>
    </row>
    <row r="8">
      <c r="A8" t="inlineStr">
        <is>
          <t>sampleID</t>
        </is>
      </c>
      <c r="B8" t="inlineStr">
        <is>
          <t>TE</t>
        </is>
      </c>
      <c r="C8" t="inlineStr">
        <is>
          <t>Dilutionfactor</t>
        </is>
      </c>
      <c r="D8" t="inlineStr">
        <is>
          <t>Total0.4-1FPs</t>
        </is>
      </c>
      <c r="E8" t="inlineStr">
        <is>
          <t>23Na</t>
        </is>
      </c>
      <c r="F8" t="inlineStr">
        <is>
          <t>24Mg</t>
        </is>
      </c>
      <c r="G8" t="inlineStr">
        <is>
          <t>27Al</t>
        </is>
      </c>
      <c r="H8" t="inlineStr">
        <is>
          <t>28Si</t>
        </is>
      </c>
      <c r="I8" t="inlineStr">
        <is>
          <t>39K</t>
        </is>
      </c>
      <c r="J8" t="inlineStr">
        <is>
          <t>44Ca</t>
        </is>
      </c>
      <c r="K8" t="inlineStr">
        <is>
          <t>48Ti</t>
        </is>
      </c>
      <c r="L8" t="inlineStr">
        <is>
          <t>51V</t>
        </is>
      </c>
      <c r="M8" t="inlineStr">
        <is>
          <t>52Cr</t>
        </is>
      </c>
      <c r="N8" t="inlineStr">
        <is>
          <t>54Fe</t>
        </is>
      </c>
      <c r="O8" t="inlineStr">
        <is>
          <t>55Mn</t>
        </is>
      </c>
      <c r="P8" t="inlineStr">
        <is>
          <t>59Co</t>
        </is>
      </c>
      <c r="Q8" t="inlineStr">
        <is>
          <t>60Ni</t>
        </is>
      </c>
      <c r="R8" t="inlineStr">
        <is>
          <t>63Cu</t>
        </is>
      </c>
      <c r="S8" t="inlineStr">
        <is>
          <t>66Zn</t>
        </is>
      </c>
      <c r="T8" t="inlineStr">
        <is>
          <t>75As</t>
        </is>
      </c>
      <c r="U8" t="inlineStr">
        <is>
          <t>88Sr</t>
        </is>
      </c>
      <c r="V8" t="inlineStr">
        <is>
          <t>90Zr</t>
        </is>
      </c>
      <c r="W8" t="inlineStr">
        <is>
          <t>93Nb</t>
        </is>
      </c>
      <c r="X8" t="inlineStr">
        <is>
          <t>98Mo</t>
        </is>
      </c>
      <c r="Y8" t="inlineStr">
        <is>
          <t>111Cd</t>
        </is>
      </c>
      <c r="Z8" t="inlineStr">
        <is>
          <t>120Sn</t>
        </is>
      </c>
      <c r="AA8" t="inlineStr">
        <is>
          <t>121Sb</t>
        </is>
      </c>
      <c r="AB8" t="inlineStr">
        <is>
          <t>138Ba</t>
        </is>
      </c>
      <c r="AC8" t="inlineStr">
        <is>
          <t>139La</t>
        </is>
      </c>
      <c r="AD8" t="inlineStr">
        <is>
          <t>140Ce</t>
        </is>
      </c>
      <c r="AE8" t="inlineStr">
        <is>
          <t>184W</t>
        </is>
      </c>
      <c r="AF8" t="inlineStr">
        <is>
          <t>205Tl</t>
        </is>
      </c>
      <c r="AG8" t="inlineStr">
        <is>
          <t>208Pb</t>
        </is>
      </c>
    </row>
    <row r="9">
      <c r="A9" t="inlineStr">
        <is>
          <t>CFPP2</t>
        </is>
      </c>
      <c r="B9" t="n">
        <v>0.4</v>
      </c>
      <c r="C9" t="n">
        <v>1000</v>
      </c>
      <c r="D9">
        <f>D2*$C9*60*50/($B9*0.02*150*20)</f>
        <v/>
      </c>
      <c r="E9">
        <f>E2*$C9*60*50/($B9*0.02*150*20)</f>
        <v/>
      </c>
      <c r="F9">
        <f>F2*$C9*60*50/($B9*0.02*150*20)</f>
        <v/>
      </c>
      <c r="G9">
        <f>G2*$C9*60*50/($B9*0.02*150*20)</f>
        <v/>
      </c>
      <c r="H9">
        <f>H2*$C9*60*50/($B9*0.02*150*20)</f>
        <v/>
      </c>
      <c r="I9">
        <f>I2*$C9*60*50/($B9*0.02*150*20)</f>
        <v/>
      </c>
      <c r="J9">
        <f>J2*$C9*60*50/($B9*0.02*150*20)</f>
        <v/>
      </c>
      <c r="K9">
        <f>K2*$C9*60*50/($B9*0.02*150*20)</f>
        <v/>
      </c>
      <c r="L9">
        <f>L2*$C9*60*50/($B9*0.02*150*20)</f>
        <v/>
      </c>
      <c r="M9">
        <f>M2*$C9*60*50/($B9*0.02*150*20)</f>
        <v/>
      </c>
      <c r="N9">
        <f>N2*$C9*60*50/($B9*0.02*150*20)</f>
        <v/>
      </c>
      <c r="O9">
        <f>O2*$C9*60*50/($B9*0.02*150*20)</f>
        <v/>
      </c>
      <c r="P9">
        <f>P2*$C9*60*50/($B9*0.02*150*20)</f>
        <v/>
      </c>
      <c r="Q9">
        <f>Q2*$C9*60*50/($B9*0.02*150*20)</f>
        <v/>
      </c>
      <c r="R9">
        <f>R2*$C9*60*50/($B9*0.02*150*20)</f>
        <v/>
      </c>
      <c r="S9">
        <f>S2*$C9*60*50/($B9*0.02*150*20)</f>
        <v/>
      </c>
      <c r="T9">
        <f>T2*$C9*60*50/($B9*0.02*150*20)</f>
        <v/>
      </c>
      <c r="U9">
        <f>U2*$C9*60*50/($B9*0.02*150*20)</f>
        <v/>
      </c>
      <c r="V9">
        <f>V2*$C9*60*50/($B9*0.02*150*20)</f>
        <v/>
      </c>
      <c r="W9">
        <f>W2*$C9*60*50/($B9*0.02*150*20)</f>
        <v/>
      </c>
      <c r="X9">
        <f>X2*$C9*60*50/($B9*0.02*150*20)</f>
        <v/>
      </c>
      <c r="Y9">
        <f>Y2*$C9*60*50/($B9*0.02*150*20)</f>
        <v/>
      </c>
      <c r="Z9">
        <f>Z2*$C9*60*50/($B9*0.02*150*20)</f>
        <v/>
      </c>
      <c r="AA9">
        <f>AA2*$C9*60*50/($B9*0.02*150*20)</f>
        <v/>
      </c>
      <c r="AB9">
        <f>AB2*$C9*60*50/($B9*0.02*150*20)</f>
        <v/>
      </c>
      <c r="AC9">
        <f>AC2*$C9*60*50/($B9*0.02*150*20)</f>
        <v/>
      </c>
      <c r="AD9">
        <f>AD2*$C9*60*50/($B9*0.02*150*20)</f>
        <v/>
      </c>
      <c r="AE9">
        <f>AE2*$C9*60*50/($B9*0.02*150*20)</f>
        <v/>
      </c>
      <c r="AF9">
        <f>AF2*$C9*60*50/($B9*0.02*150*20)</f>
        <v/>
      </c>
      <c r="AG9">
        <f>AG2*$C9*60*50/($B9*0.02*150*20)</f>
        <v/>
      </c>
    </row>
    <row r="10">
      <c r="A10" t="inlineStr">
        <is>
          <t>COP11</t>
        </is>
      </c>
      <c r="B10" t="n">
        <v>0.4</v>
      </c>
      <c r="C10" t="n">
        <v>1000</v>
      </c>
      <c r="D10">
        <f>D3*$C10*60*50/($B10*0.02*150*20)</f>
        <v/>
      </c>
      <c r="E10">
        <f>E3*$C10*60*50/($B10*0.02*150*20)</f>
        <v/>
      </c>
      <c r="F10">
        <f>F3*$C10*60*50/($B10*0.02*150*20)</f>
        <v/>
      </c>
      <c r="G10">
        <f>G3*$C10*60*50/($B10*0.02*150*20)</f>
        <v/>
      </c>
      <c r="H10">
        <f>H3*$C10*60*50/($B10*0.02*150*20)</f>
        <v/>
      </c>
      <c r="I10">
        <f>I3*$C10*60*50/($B10*0.02*150*20)</f>
        <v/>
      </c>
      <c r="J10">
        <f>J3*$C10*60*50/($B10*0.02*150*20)</f>
        <v/>
      </c>
      <c r="K10">
        <f>K3*$C10*60*50/($B10*0.02*150*20)</f>
        <v/>
      </c>
      <c r="L10">
        <f>L3*$C10*60*50/($B10*0.02*150*20)</f>
        <v/>
      </c>
      <c r="M10">
        <f>M3*$C10*60*50/($B10*0.02*150*20)</f>
        <v/>
      </c>
      <c r="N10">
        <f>N3*$C10*60*50/($B10*0.02*150*20)</f>
        <v/>
      </c>
      <c r="O10">
        <f>O3*$C10*60*50/($B10*0.02*150*20)</f>
        <v/>
      </c>
      <c r="P10">
        <f>P3*$C10*60*50/($B10*0.02*150*20)</f>
        <v/>
      </c>
      <c r="Q10">
        <f>Q3*$C10*60*50/($B10*0.02*150*20)</f>
        <v/>
      </c>
      <c r="R10">
        <f>R3*$C10*60*50/($B10*0.02*150*20)</f>
        <v/>
      </c>
      <c r="S10">
        <f>S3*$C10*60*50/($B10*0.02*150*20)</f>
        <v/>
      </c>
      <c r="T10">
        <f>T3*$C10*60*50/($B10*0.02*150*20)</f>
        <v/>
      </c>
      <c r="U10">
        <f>U3*$C10*60*50/($B10*0.02*150*20)</f>
        <v/>
      </c>
      <c r="V10">
        <f>V3*$C10*60*50/($B10*0.02*150*20)</f>
        <v/>
      </c>
      <c r="W10">
        <f>W3*$C10*60*50/($B10*0.02*150*20)</f>
        <v/>
      </c>
      <c r="X10">
        <f>X3*$C10*60*50/($B10*0.02*150*20)</f>
        <v/>
      </c>
      <c r="Y10">
        <f>Y3*$C10*60*50/($B10*0.02*150*20)</f>
        <v/>
      </c>
      <c r="Z10">
        <f>Z3*$C10*60*50/($B10*0.02*150*20)</f>
        <v/>
      </c>
      <c r="AA10">
        <f>AA3*$C10*60*50/($B10*0.02*150*20)</f>
        <v/>
      </c>
      <c r="AB10">
        <f>AB3*$C10*60*50/($B10*0.02*150*20)</f>
        <v/>
      </c>
      <c r="AC10">
        <f>AC3*$C10*60*50/($B10*0.02*150*20)</f>
        <v/>
      </c>
      <c r="AD10">
        <f>AD3*$C10*60*50/($B10*0.02*150*20)</f>
        <v/>
      </c>
      <c r="AE10">
        <f>AE3*$C10*60*50/($B10*0.02*150*20)</f>
        <v/>
      </c>
      <c r="AF10">
        <f>AF3*$C10*60*50/($B10*0.02*150*20)</f>
        <v/>
      </c>
      <c r="AG10">
        <f>AG3*$C10*60*50/($B10*0.02*150*20)</f>
        <v/>
      </c>
    </row>
    <row r="11">
      <c r="A11" t="inlineStr">
        <is>
          <t>EAF10</t>
        </is>
      </c>
      <c r="B11" t="n">
        <v>0.4</v>
      </c>
      <c r="C11" t="n">
        <v>5000</v>
      </c>
      <c r="D11">
        <f>D4*$C11*60*50/($B11*0.02*150*20)</f>
        <v/>
      </c>
      <c r="E11">
        <f>E4*$C11*60*50/($B11*0.02*150*20)</f>
        <v/>
      </c>
      <c r="F11">
        <f>F4*$C11*60*50/($B11*0.02*150*20)</f>
        <v/>
      </c>
      <c r="G11">
        <f>G4*$C11*60*50/($B11*0.02*150*20)</f>
        <v/>
      </c>
      <c r="H11">
        <f>H4*$C11*60*50/($B11*0.02*150*20)</f>
        <v/>
      </c>
      <c r="I11">
        <f>I4*$C11*60*50/($B11*0.02*150*20)</f>
        <v/>
      </c>
      <c r="J11">
        <f>J4*$C11*60*50/($B11*0.02*150*20)</f>
        <v/>
      </c>
      <c r="K11">
        <f>K4*$C11*60*50/($B11*0.02*150*20)</f>
        <v/>
      </c>
      <c r="L11">
        <f>L4*$C11*60*50/($B11*0.02*150*20)</f>
        <v/>
      </c>
      <c r="M11">
        <f>M4*$C11*60*50/($B11*0.02*150*20)</f>
        <v/>
      </c>
      <c r="N11">
        <f>N4*$C11*60*50/($B11*0.02*150*20)</f>
        <v/>
      </c>
      <c r="O11">
        <f>O4*$C11*60*50/($B11*0.02*150*20)</f>
        <v/>
      </c>
      <c r="P11">
        <f>P4*$C11*60*50/($B11*0.02*150*20)</f>
        <v/>
      </c>
      <c r="Q11">
        <f>Q4*$C11*60*50/($B11*0.02*150*20)</f>
        <v/>
      </c>
      <c r="R11">
        <f>R4*$C11*60*50/($B11*0.02*150*20)</f>
        <v/>
      </c>
      <c r="S11">
        <f>S4*$C11*60*50/($B11*0.02*150*20)</f>
        <v/>
      </c>
      <c r="T11">
        <f>T4*$C11*60*50/($B11*0.02*150*20)</f>
        <v/>
      </c>
      <c r="U11">
        <f>U4*$C11*60*50/($B11*0.02*150*20)</f>
        <v/>
      </c>
      <c r="V11">
        <f>V4*$C11*60*50/($B11*0.02*150*20)</f>
        <v/>
      </c>
      <c r="W11">
        <f>W4*$C11*60*50/($B11*0.02*150*20)</f>
        <v/>
      </c>
      <c r="X11">
        <f>X4*$C11*60*50/($B11*0.02*150*20)</f>
        <v/>
      </c>
      <c r="Y11">
        <f>Y4*$C11*60*50/($B11*0.02*150*20)</f>
        <v/>
      </c>
      <c r="Z11">
        <f>Z4*$C11*60*50/($B11*0.02*150*20)</f>
        <v/>
      </c>
      <c r="AA11">
        <f>AA4*$C11*60*50/($B11*0.02*150*20)</f>
        <v/>
      </c>
      <c r="AB11">
        <f>AB4*$C11*60*50/($B11*0.02*150*20)</f>
        <v/>
      </c>
      <c r="AC11">
        <f>AC4*$C11*60*50/($B11*0.02*150*20)</f>
        <v/>
      </c>
      <c r="AD11">
        <f>AD4*$C11*60*50/($B11*0.02*150*20)</f>
        <v/>
      </c>
      <c r="AE11">
        <f>AE4*$C11*60*50/($B11*0.02*150*20)</f>
        <v/>
      </c>
      <c r="AF11">
        <f>AF4*$C11*60*50/($B11*0.02*150*20)</f>
        <v/>
      </c>
      <c r="AG11">
        <f>AG4*$C11*60*50/($B11*0.02*150*20)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CFPP2</t>
        </is>
      </c>
      <c r="C1" t="inlineStr">
        <is>
          <t>COP11</t>
        </is>
      </c>
      <c r="D1" t="inlineStr">
        <is>
          <t>EAF10</t>
        </is>
      </c>
    </row>
    <row r="2">
      <c r="A2" t="inlineStr">
        <is>
          <t>23Na</t>
        </is>
      </c>
      <c r="B2" t="n">
        <v>1</v>
      </c>
      <c r="C2" t="n">
        <v>4</v>
      </c>
      <c r="D2" t="n">
        <v>0</v>
      </c>
    </row>
    <row r="3">
      <c r="A3" t="inlineStr">
        <is>
          <t>24Mg</t>
        </is>
      </c>
      <c r="B3" t="n">
        <v>5</v>
      </c>
      <c r="C3" t="n">
        <v>1</v>
      </c>
      <c r="D3" t="n">
        <v>2</v>
      </c>
    </row>
    <row r="4">
      <c r="A4" t="inlineStr">
        <is>
          <t>27Al</t>
        </is>
      </c>
      <c r="B4" t="n">
        <v>122</v>
      </c>
      <c r="C4" t="n">
        <v>34</v>
      </c>
      <c r="D4" t="n">
        <v>2</v>
      </c>
    </row>
    <row r="5">
      <c r="A5" t="inlineStr">
        <is>
          <t>28Si</t>
        </is>
      </c>
      <c r="B5" t="n">
        <v>6</v>
      </c>
      <c r="C5" t="n">
        <v>1</v>
      </c>
      <c r="D5" t="n">
        <v>1</v>
      </c>
    </row>
    <row r="6">
      <c r="A6" t="inlineStr">
        <is>
          <t>39K</t>
        </is>
      </c>
      <c r="B6" t="n">
        <v>3</v>
      </c>
      <c r="C6" t="n">
        <v>3</v>
      </c>
      <c r="D6" t="n">
        <v>0</v>
      </c>
    </row>
    <row r="7">
      <c r="A7" t="inlineStr">
        <is>
          <t>44Ca</t>
        </is>
      </c>
      <c r="B7" t="n">
        <v>1</v>
      </c>
      <c r="C7" t="n">
        <v>0</v>
      </c>
      <c r="D7" t="n">
        <v>0</v>
      </c>
    </row>
    <row r="8">
      <c r="A8" t="inlineStr">
        <is>
          <t>48Ti</t>
        </is>
      </c>
      <c r="B8" t="n">
        <v>5</v>
      </c>
      <c r="C8" t="n">
        <v>5</v>
      </c>
      <c r="D8" t="n">
        <v>0</v>
      </c>
    </row>
    <row r="9">
      <c r="A9" t="inlineStr">
        <is>
          <t>51V</t>
        </is>
      </c>
      <c r="B9" t="n">
        <v>0</v>
      </c>
      <c r="C9" t="n">
        <v>0</v>
      </c>
      <c r="D9" t="n">
        <v>0</v>
      </c>
    </row>
    <row r="10">
      <c r="A10" t="inlineStr">
        <is>
          <t>52Cr</t>
        </is>
      </c>
      <c r="B10" t="n">
        <v>1</v>
      </c>
      <c r="C10" t="n">
        <v>0</v>
      </c>
      <c r="D10" t="n">
        <v>2</v>
      </c>
    </row>
    <row r="11">
      <c r="A11" t="inlineStr">
        <is>
          <t>54Fe</t>
        </is>
      </c>
      <c r="B11" t="n">
        <v>40</v>
      </c>
      <c r="C11" t="n">
        <v>11</v>
      </c>
      <c r="D11" t="n">
        <v>90</v>
      </c>
    </row>
    <row r="12">
      <c r="A12" t="inlineStr">
        <is>
          <t>55Mn</t>
        </is>
      </c>
      <c r="B12" t="n">
        <v>6</v>
      </c>
      <c r="C12" t="n">
        <v>4</v>
      </c>
      <c r="D12" t="n">
        <v>20</v>
      </c>
    </row>
    <row r="13">
      <c r="A13" t="inlineStr">
        <is>
          <t>59Co</t>
        </is>
      </c>
      <c r="B13" t="n">
        <v>0</v>
      </c>
      <c r="C13" t="n">
        <v>0</v>
      </c>
      <c r="D13" t="n">
        <v>0</v>
      </c>
    </row>
    <row r="14">
      <c r="A14" t="inlineStr">
        <is>
          <t>60Ni</t>
        </is>
      </c>
      <c r="B14" t="n">
        <v>0</v>
      </c>
      <c r="C14" t="n">
        <v>1</v>
      </c>
      <c r="D14" t="n">
        <v>0</v>
      </c>
    </row>
    <row r="15">
      <c r="A15" t="inlineStr">
        <is>
          <t>63Cu</t>
        </is>
      </c>
      <c r="B15" t="n">
        <v>0</v>
      </c>
      <c r="C15" t="n">
        <v>0</v>
      </c>
      <c r="D15" t="n">
        <v>1</v>
      </c>
    </row>
    <row r="16">
      <c r="A16" t="inlineStr">
        <is>
          <t>66Zn</t>
        </is>
      </c>
      <c r="B16" t="n">
        <v>1</v>
      </c>
      <c r="C16" t="n">
        <v>13</v>
      </c>
      <c r="D16" t="n">
        <v>141</v>
      </c>
    </row>
    <row r="17">
      <c r="A17" t="inlineStr">
        <is>
          <t>75As</t>
        </is>
      </c>
      <c r="B17" t="n">
        <v>0</v>
      </c>
      <c r="C17" t="n">
        <v>0</v>
      </c>
      <c r="D17" t="n">
        <v>0</v>
      </c>
    </row>
    <row r="18">
      <c r="A18" t="inlineStr">
        <is>
          <t>88Sr</t>
        </is>
      </c>
      <c r="B18" t="n">
        <v>0</v>
      </c>
      <c r="C18" t="n">
        <v>0</v>
      </c>
      <c r="D18" t="n">
        <v>0</v>
      </c>
    </row>
    <row r="19">
      <c r="A19" t="inlineStr">
        <is>
          <t>90Zr</t>
        </is>
      </c>
      <c r="B19" t="n">
        <v>0</v>
      </c>
      <c r="C19" t="n">
        <v>0</v>
      </c>
      <c r="D19" t="n">
        <v>0</v>
      </c>
    </row>
    <row r="20">
      <c r="A20" t="inlineStr">
        <is>
          <t>93Nb</t>
        </is>
      </c>
      <c r="B20" t="n">
        <v>0</v>
      </c>
      <c r="C20" t="n">
        <v>0</v>
      </c>
      <c r="D20" t="n">
        <v>0</v>
      </c>
    </row>
    <row r="21">
      <c r="A21" t="inlineStr">
        <is>
          <t>98Mo</t>
        </is>
      </c>
      <c r="B21" t="n">
        <v>0</v>
      </c>
      <c r="C21" t="n">
        <v>0</v>
      </c>
      <c r="D21" t="n">
        <v>0</v>
      </c>
    </row>
    <row r="22">
      <c r="A22" t="inlineStr">
        <is>
          <t>111Cd</t>
        </is>
      </c>
      <c r="B22" t="n">
        <v>0</v>
      </c>
      <c r="C22" t="n">
        <v>0</v>
      </c>
      <c r="D22" t="n">
        <v>0</v>
      </c>
    </row>
    <row r="23">
      <c r="A23" t="inlineStr">
        <is>
          <t>120Sn</t>
        </is>
      </c>
      <c r="B23" t="n">
        <v>1</v>
      </c>
      <c r="C23" t="n">
        <v>2</v>
      </c>
      <c r="D23" t="n">
        <v>0</v>
      </c>
    </row>
    <row r="24">
      <c r="A24" t="inlineStr">
        <is>
          <t>121Sb</t>
        </is>
      </c>
      <c r="B24" t="n">
        <v>0</v>
      </c>
      <c r="C24" t="n">
        <v>0</v>
      </c>
      <c r="D24" t="n">
        <v>0</v>
      </c>
    </row>
    <row r="25">
      <c r="A25" t="inlineStr">
        <is>
          <t>138Ba</t>
        </is>
      </c>
      <c r="B25" t="n">
        <v>0</v>
      </c>
      <c r="C25" t="n">
        <v>0</v>
      </c>
      <c r="D25" t="n">
        <v>0</v>
      </c>
    </row>
    <row r="26">
      <c r="A26" t="inlineStr">
        <is>
          <t>139La</t>
        </is>
      </c>
      <c r="B26" t="n">
        <v>0</v>
      </c>
      <c r="C26" t="n">
        <v>0</v>
      </c>
      <c r="D26" t="n">
        <v>0</v>
      </c>
    </row>
    <row r="27">
      <c r="A27" t="inlineStr">
        <is>
          <t>140Ce</t>
        </is>
      </c>
      <c r="B27" t="n">
        <v>0</v>
      </c>
      <c r="C27" t="n">
        <v>1</v>
      </c>
      <c r="D27" t="n">
        <v>0</v>
      </c>
    </row>
    <row r="28">
      <c r="A28" t="inlineStr">
        <is>
          <t>184W</t>
        </is>
      </c>
      <c r="B28" t="n">
        <v>0</v>
      </c>
      <c r="C28" t="n">
        <v>0</v>
      </c>
      <c r="D28" t="n">
        <v>0</v>
      </c>
    </row>
    <row r="29">
      <c r="A29" t="inlineStr">
        <is>
          <t>205Tl</t>
        </is>
      </c>
      <c r="B29" t="n">
        <v>0</v>
      </c>
      <c r="C29" t="n">
        <v>0</v>
      </c>
      <c r="D29" t="n">
        <v>0</v>
      </c>
    </row>
    <row r="30">
      <c r="A30" t="inlineStr">
        <is>
          <t>208Pb</t>
        </is>
      </c>
      <c r="B30" t="n">
        <v>0</v>
      </c>
      <c r="C30" t="n">
        <v>7</v>
      </c>
      <c r="D30" t="n">
        <v>0</v>
      </c>
    </row>
    <row r="32">
      <c r="A32" t="inlineStr">
        <is>
          <t>PNCs(particles/mg)</t>
        </is>
      </c>
    </row>
    <row r="34">
      <c r="A34" t="inlineStr">
        <is>
          <t>Element</t>
        </is>
      </c>
      <c r="B34" t="inlineStr">
        <is>
          <t>CFPP2</t>
        </is>
      </c>
      <c r="C34" t="inlineStr">
        <is>
          <t>COP11</t>
        </is>
      </c>
      <c r="D34" t="inlineStr">
        <is>
          <t>EAF10</t>
        </is>
      </c>
    </row>
    <row r="35">
      <c r="A35" t="inlineStr">
        <is>
          <t>TE</t>
        </is>
      </c>
      <c r="B35" t="n">
        <v>0.4</v>
      </c>
      <c r="C35" t="n">
        <v>0.4</v>
      </c>
      <c r="D35" t="n">
        <v>0.4</v>
      </c>
    </row>
    <row r="36">
      <c r="A36" t="inlineStr">
        <is>
          <t>23Na</t>
        </is>
      </c>
      <c r="B36">
        <f>B2*1000*60*50/(B35*0.02*150*20)</f>
        <v/>
      </c>
      <c r="C36">
        <f>C2*1000*60*50/(C35*0.02*150*20)</f>
        <v/>
      </c>
      <c r="D36">
        <f>D2*5000*60*50/(D35*0.02*150*20)</f>
        <v/>
      </c>
    </row>
    <row r="37">
      <c r="A37" t="inlineStr">
        <is>
          <t>24Mg</t>
        </is>
      </c>
      <c r="B37">
        <f>B3*1000*60*50/(B35*0.02*150*20)</f>
        <v/>
      </c>
      <c r="C37">
        <f>C3*1000*60*50/(C35*0.02*150*20)</f>
        <v/>
      </c>
      <c r="D37">
        <f>D3*5000*60*50/(D35*0.02*150*20)</f>
        <v/>
      </c>
    </row>
    <row r="38">
      <c r="A38" t="inlineStr">
        <is>
          <t>27Al</t>
        </is>
      </c>
      <c r="B38">
        <f>B4*1000*60*50/(B35*0.02*150*20)</f>
        <v/>
      </c>
      <c r="C38">
        <f>C4*1000*60*50/(C35*0.02*150*20)</f>
        <v/>
      </c>
      <c r="D38">
        <f>D4*5000*60*50/(D35*0.02*150*20)</f>
        <v/>
      </c>
    </row>
    <row r="39">
      <c r="A39" t="inlineStr">
        <is>
          <t>28Si</t>
        </is>
      </c>
      <c r="B39">
        <f>B5*1000*60*50/(B35*0.02*150*20)</f>
        <v/>
      </c>
      <c r="C39">
        <f>C5*1000*60*50/(C35*0.02*150*20)</f>
        <v/>
      </c>
      <c r="D39">
        <f>D5*5000*60*50/(D35*0.02*150*20)</f>
        <v/>
      </c>
    </row>
    <row r="40">
      <c r="A40" t="inlineStr">
        <is>
          <t>39K</t>
        </is>
      </c>
      <c r="B40">
        <f>B6*1000*60*50/(B35*0.02*150*20)</f>
        <v/>
      </c>
      <c r="C40">
        <f>C6*1000*60*50/(C35*0.02*150*20)</f>
        <v/>
      </c>
      <c r="D40">
        <f>D6*5000*60*50/(D35*0.02*150*20)</f>
        <v/>
      </c>
    </row>
    <row r="41">
      <c r="A41" t="inlineStr">
        <is>
          <t>44Ca</t>
        </is>
      </c>
      <c r="B41">
        <f>B7*1000*60*50/(B35*0.02*150*20)</f>
        <v/>
      </c>
      <c r="C41">
        <f>C7*1000*60*50/(C35*0.02*150*20)</f>
        <v/>
      </c>
      <c r="D41">
        <f>D7*5000*60*50/(D35*0.02*150*20)</f>
        <v/>
      </c>
    </row>
    <row r="42">
      <c r="A42" t="inlineStr">
        <is>
          <t>48Ti</t>
        </is>
      </c>
      <c r="B42">
        <f>B8*1000*60*50/(B35*0.02*150*20)</f>
        <v/>
      </c>
      <c r="C42">
        <f>C8*1000*60*50/(C35*0.02*150*20)</f>
        <v/>
      </c>
      <c r="D42">
        <f>D8*5000*60*50/(D35*0.02*150*20)</f>
        <v/>
      </c>
    </row>
    <row r="43">
      <c r="A43" t="inlineStr">
        <is>
          <t>51V</t>
        </is>
      </c>
      <c r="B43">
        <f>B9*1000*60*50/(B35*0.02*150*20)</f>
        <v/>
      </c>
      <c r="C43">
        <f>C9*1000*60*50/(C35*0.02*150*20)</f>
        <v/>
      </c>
      <c r="D43">
        <f>D9*5000*60*50/(D35*0.02*150*20)</f>
        <v/>
      </c>
    </row>
    <row r="44">
      <c r="A44" t="inlineStr">
        <is>
          <t>52Cr</t>
        </is>
      </c>
      <c r="B44">
        <f>B10*1000*60*50/(B35*0.02*150*20)</f>
        <v/>
      </c>
      <c r="C44">
        <f>C10*1000*60*50/(C35*0.02*150*20)</f>
        <v/>
      </c>
      <c r="D44">
        <f>D10*5000*60*50/(D35*0.02*150*20)</f>
        <v/>
      </c>
    </row>
    <row r="45">
      <c r="A45" t="inlineStr">
        <is>
          <t>54Fe</t>
        </is>
      </c>
      <c r="B45">
        <f>B11*1000*60*50/(B35*0.02*150*20)</f>
        <v/>
      </c>
      <c r="C45">
        <f>C11*1000*60*50/(C35*0.02*150*20)</f>
        <v/>
      </c>
      <c r="D45">
        <f>D11*5000*60*50/(D35*0.02*150*20)</f>
        <v/>
      </c>
    </row>
    <row r="46">
      <c r="A46" t="inlineStr">
        <is>
          <t>55Mn</t>
        </is>
      </c>
      <c r="B46">
        <f>B12*1000*60*50/(B35*0.02*150*20)</f>
        <v/>
      </c>
      <c r="C46">
        <f>C12*1000*60*50/(C35*0.02*150*20)</f>
        <v/>
      </c>
      <c r="D46">
        <f>D12*5000*60*50/(D35*0.02*150*20)</f>
        <v/>
      </c>
    </row>
    <row r="47">
      <c r="A47" t="inlineStr">
        <is>
          <t>59Co</t>
        </is>
      </c>
      <c r="B47">
        <f>B13*1000*60*50/(B35*0.02*150*20)</f>
        <v/>
      </c>
      <c r="C47">
        <f>C13*1000*60*50/(C35*0.02*150*20)</f>
        <v/>
      </c>
      <c r="D47">
        <f>D13*5000*60*50/(D35*0.02*150*20)</f>
        <v/>
      </c>
    </row>
    <row r="48">
      <c r="A48" t="inlineStr">
        <is>
          <t>60Ni</t>
        </is>
      </c>
      <c r="B48">
        <f>B14*1000*60*50/(B35*0.02*150*20)</f>
        <v/>
      </c>
      <c r="C48">
        <f>C14*1000*60*50/(C35*0.02*150*20)</f>
        <v/>
      </c>
      <c r="D48">
        <f>D14*5000*60*50/(D35*0.02*150*20)</f>
        <v/>
      </c>
    </row>
    <row r="49">
      <c r="A49" t="inlineStr">
        <is>
          <t>63Cu</t>
        </is>
      </c>
      <c r="B49">
        <f>B15*1000*60*50/(B35*0.02*150*20)</f>
        <v/>
      </c>
      <c r="C49">
        <f>C15*1000*60*50/(C35*0.02*150*20)</f>
        <v/>
      </c>
      <c r="D49">
        <f>D15*5000*60*50/(D35*0.02*150*20)</f>
        <v/>
      </c>
    </row>
    <row r="50">
      <c r="A50" t="inlineStr">
        <is>
          <t>66Zn</t>
        </is>
      </c>
      <c r="B50">
        <f>B16*1000*60*50/(B35*0.02*150*20)</f>
        <v/>
      </c>
      <c r="C50">
        <f>C16*1000*60*50/(C35*0.02*150*20)</f>
        <v/>
      </c>
      <c r="D50">
        <f>D16*5000*60*50/(D35*0.02*150*20)</f>
        <v/>
      </c>
    </row>
    <row r="51">
      <c r="A51" t="inlineStr">
        <is>
          <t>75As</t>
        </is>
      </c>
      <c r="B51">
        <f>B17*1000*60*50/(B35*0.02*150*20)</f>
        <v/>
      </c>
      <c r="C51">
        <f>C17*1000*60*50/(C35*0.02*150*20)</f>
        <v/>
      </c>
      <c r="D51">
        <f>D17*5000*60*50/(D35*0.02*150*20)</f>
        <v/>
      </c>
    </row>
    <row r="52">
      <c r="A52" t="inlineStr">
        <is>
          <t>88Sr</t>
        </is>
      </c>
      <c r="B52">
        <f>B18*1000*60*50/(B35*0.02*150*20)</f>
        <v/>
      </c>
      <c r="C52">
        <f>C18*1000*60*50/(C35*0.02*150*20)</f>
        <v/>
      </c>
      <c r="D52">
        <f>D18*5000*60*50/(D35*0.02*150*20)</f>
        <v/>
      </c>
    </row>
    <row r="53">
      <c r="A53" t="inlineStr">
        <is>
          <t>90Zr</t>
        </is>
      </c>
      <c r="B53">
        <f>B19*1000*60*50/(B35*0.02*150*20)</f>
        <v/>
      </c>
      <c r="C53">
        <f>C19*1000*60*50/(C35*0.02*150*20)</f>
        <v/>
      </c>
      <c r="D53">
        <f>D19*5000*60*50/(D35*0.02*150*20)</f>
        <v/>
      </c>
    </row>
    <row r="54">
      <c r="A54" t="inlineStr">
        <is>
          <t>93Nb</t>
        </is>
      </c>
      <c r="B54">
        <f>B20*1000*60*50/(B35*0.02*150*20)</f>
        <v/>
      </c>
      <c r="C54">
        <f>C20*1000*60*50/(C35*0.02*150*20)</f>
        <v/>
      </c>
      <c r="D54">
        <f>D20*5000*60*50/(D35*0.02*150*20)</f>
        <v/>
      </c>
    </row>
    <row r="55">
      <c r="A55" t="inlineStr">
        <is>
          <t>98Mo</t>
        </is>
      </c>
      <c r="B55">
        <f>B21*1000*60*50/(B35*0.02*150*20)</f>
        <v/>
      </c>
      <c r="C55">
        <f>C21*1000*60*50/(C35*0.02*150*20)</f>
        <v/>
      </c>
      <c r="D55">
        <f>D21*5000*60*50/(D35*0.02*150*20)</f>
        <v/>
      </c>
    </row>
    <row r="56">
      <c r="A56" t="inlineStr">
        <is>
          <t>111Cd</t>
        </is>
      </c>
      <c r="B56">
        <f>B22*1000*60*50/(B35*0.02*150*20)</f>
        <v/>
      </c>
      <c r="C56">
        <f>C22*1000*60*50/(C35*0.02*150*20)</f>
        <v/>
      </c>
      <c r="D56">
        <f>D22*5000*60*50/(D35*0.02*150*20)</f>
        <v/>
      </c>
    </row>
    <row r="57">
      <c r="A57" t="inlineStr">
        <is>
          <t>120Sn</t>
        </is>
      </c>
      <c r="B57">
        <f>B23*1000*60*50/(B35*0.02*150*20)</f>
        <v/>
      </c>
      <c r="C57">
        <f>C23*1000*60*50/(C35*0.02*150*20)</f>
        <v/>
      </c>
      <c r="D57">
        <f>D23*5000*60*50/(D35*0.02*150*20)</f>
        <v/>
      </c>
    </row>
    <row r="58">
      <c r="A58" t="inlineStr">
        <is>
          <t>121Sb</t>
        </is>
      </c>
      <c r="B58">
        <f>B24*1000*60*50/(B35*0.02*150*20)</f>
        <v/>
      </c>
      <c r="C58">
        <f>C24*1000*60*50/(C35*0.02*150*20)</f>
        <v/>
      </c>
      <c r="D58">
        <f>D24*5000*60*50/(D35*0.02*150*20)</f>
        <v/>
      </c>
    </row>
    <row r="59">
      <c r="A59" t="inlineStr">
        <is>
          <t>138Ba</t>
        </is>
      </c>
      <c r="B59">
        <f>B25*1000*60*50/(B35*0.02*150*20)</f>
        <v/>
      </c>
      <c r="C59">
        <f>C25*1000*60*50/(C35*0.02*150*20)</f>
        <v/>
      </c>
      <c r="D59">
        <f>D25*5000*60*50/(D35*0.02*150*20)</f>
        <v/>
      </c>
    </row>
    <row r="60">
      <c r="A60" t="inlineStr">
        <is>
          <t>139La</t>
        </is>
      </c>
      <c r="B60">
        <f>B26*1000*60*50/(B35*0.02*150*20)</f>
        <v/>
      </c>
      <c r="C60">
        <f>C26*1000*60*50/(C35*0.02*150*20)</f>
        <v/>
      </c>
      <c r="D60">
        <f>D26*5000*60*50/(D35*0.02*150*20)</f>
        <v/>
      </c>
    </row>
    <row r="61">
      <c r="A61" t="inlineStr">
        <is>
          <t>140Ce</t>
        </is>
      </c>
      <c r="B61">
        <f>B27*1000*60*50/(B35*0.02*150*20)</f>
        <v/>
      </c>
      <c r="C61">
        <f>C27*1000*60*50/(C35*0.02*150*20)</f>
        <v/>
      </c>
      <c r="D61">
        <f>D27*5000*60*50/(D35*0.02*150*20)</f>
        <v/>
      </c>
    </row>
    <row r="62">
      <c r="A62" t="inlineStr">
        <is>
          <t>184W</t>
        </is>
      </c>
      <c r="B62">
        <f>B28*1000*60*50/(B35*0.02*150*20)</f>
        <v/>
      </c>
      <c r="C62">
        <f>C28*1000*60*50/(C35*0.02*150*20)</f>
        <v/>
      </c>
      <c r="D62">
        <f>D28*5000*60*50/(D35*0.02*150*20)</f>
        <v/>
      </c>
    </row>
    <row r="63">
      <c r="A63" t="inlineStr">
        <is>
          <t>205Tl</t>
        </is>
      </c>
      <c r="B63">
        <f>B29*1000*60*50/(B35*0.02*150*20)</f>
        <v/>
      </c>
      <c r="C63">
        <f>C29*1000*60*50/(C35*0.02*150*20)</f>
        <v/>
      </c>
      <c r="D63">
        <f>D29*5000*60*50/(D35*0.02*150*20)</f>
        <v/>
      </c>
    </row>
    <row r="64">
      <c r="A64" t="inlineStr">
        <is>
          <t>208Pb</t>
        </is>
      </c>
      <c r="B64">
        <f>B30*1000*60*50/(B35*0.02*150*20)</f>
        <v/>
      </c>
      <c r="C64">
        <f>C30*1000*60*50/(C35*0.02*150*20)</f>
        <v/>
      </c>
      <c r="D64">
        <f>D30*5000*60*50/(D35*0.02*150*20)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TE</t>
        </is>
      </c>
      <c r="C1" t="inlineStr">
        <is>
          <t>Dilutionfactor</t>
        </is>
      </c>
      <c r="D1" t="inlineStr">
        <is>
          <t>TotalsmFPs</t>
        </is>
      </c>
      <c r="E1" t="inlineStr">
        <is>
          <t>51V</t>
        </is>
      </c>
      <c r="F1" t="inlineStr">
        <is>
          <t>52Cr</t>
        </is>
      </c>
      <c r="G1" t="inlineStr">
        <is>
          <t>55Mn</t>
        </is>
      </c>
      <c r="H1" t="inlineStr">
        <is>
          <t>59Co</t>
        </is>
      </c>
      <c r="I1" t="inlineStr">
        <is>
          <t>60Ni</t>
        </is>
      </c>
      <c r="J1" t="inlineStr">
        <is>
          <t>63Cu</t>
        </is>
      </c>
      <c r="K1" t="inlineStr">
        <is>
          <t>66Zn</t>
        </is>
      </c>
      <c r="L1" t="inlineStr">
        <is>
          <t>75As</t>
        </is>
      </c>
      <c r="M1" t="inlineStr">
        <is>
          <t>111Cd</t>
        </is>
      </c>
      <c r="N1" t="inlineStr">
        <is>
          <t>120Sn</t>
        </is>
      </c>
      <c r="O1" t="inlineStr">
        <is>
          <t>121Sb</t>
        </is>
      </c>
      <c r="P1" t="inlineStr">
        <is>
          <t>138Ba</t>
        </is>
      </c>
      <c r="Q1" t="inlineStr">
        <is>
          <t>205Tl</t>
        </is>
      </c>
      <c r="R1" t="inlineStr">
        <is>
          <t>208Pb</t>
        </is>
      </c>
    </row>
    <row r="2">
      <c r="A2" t="inlineStr">
        <is>
          <t>CFPP2</t>
        </is>
      </c>
      <c r="B2" t="n">
        <v>0.4</v>
      </c>
      <c r="C2" t="n">
        <v>1000</v>
      </c>
      <c r="D2" t="n">
        <v>122</v>
      </c>
      <c r="E2" t="n">
        <v>7</v>
      </c>
      <c r="F2" t="n">
        <v>33</v>
      </c>
      <c r="G2" t="n">
        <v>22</v>
      </c>
      <c r="H2" t="n">
        <v>6</v>
      </c>
      <c r="I2" t="n">
        <v>21</v>
      </c>
      <c r="J2" t="n">
        <v>2</v>
      </c>
      <c r="K2" t="n">
        <v>10</v>
      </c>
      <c r="L2" t="n">
        <v>2</v>
      </c>
      <c r="M2" t="n">
        <v>2</v>
      </c>
      <c r="N2" t="n">
        <v>2</v>
      </c>
      <c r="O2" t="n">
        <v>2</v>
      </c>
      <c r="P2" t="n">
        <v>3</v>
      </c>
      <c r="Q2" t="n">
        <v>3</v>
      </c>
      <c r="R2" t="n">
        <v>7</v>
      </c>
    </row>
    <row r="3">
      <c r="A3" t="inlineStr">
        <is>
          <t>COP11</t>
        </is>
      </c>
      <c r="B3" t="n">
        <v>0.4</v>
      </c>
      <c r="C3" t="n">
        <v>1000</v>
      </c>
      <c r="D3" t="n">
        <v>493</v>
      </c>
      <c r="E3" t="n">
        <v>2</v>
      </c>
      <c r="F3" t="n">
        <v>16</v>
      </c>
      <c r="G3" t="n">
        <v>26</v>
      </c>
      <c r="H3" t="n">
        <v>1</v>
      </c>
      <c r="I3" t="n">
        <v>8</v>
      </c>
      <c r="J3" t="n">
        <v>2</v>
      </c>
      <c r="K3" t="n">
        <v>7</v>
      </c>
      <c r="L3" t="n">
        <v>2</v>
      </c>
      <c r="M3" t="n">
        <v>1</v>
      </c>
      <c r="N3" t="n">
        <v>7</v>
      </c>
      <c r="O3" t="n">
        <v>2</v>
      </c>
      <c r="P3" t="n">
        <v>2</v>
      </c>
      <c r="Q3" t="n">
        <v>2</v>
      </c>
      <c r="R3" t="n">
        <v>415</v>
      </c>
    </row>
    <row r="4">
      <c r="A4" t="inlineStr">
        <is>
          <t>EAF10</t>
        </is>
      </c>
      <c r="B4" t="n">
        <v>0.4</v>
      </c>
      <c r="C4" t="n">
        <v>5000</v>
      </c>
      <c r="D4" t="n">
        <v>261</v>
      </c>
      <c r="E4" t="n">
        <v>2</v>
      </c>
      <c r="F4" t="n">
        <v>18</v>
      </c>
      <c r="G4" t="n">
        <v>109</v>
      </c>
      <c r="H4" t="n">
        <v>1</v>
      </c>
      <c r="I4" t="n">
        <v>37</v>
      </c>
      <c r="J4" t="n">
        <v>3</v>
      </c>
      <c r="K4" t="n">
        <v>65</v>
      </c>
      <c r="L4" t="n">
        <v>0</v>
      </c>
      <c r="M4" t="n">
        <v>3</v>
      </c>
      <c r="N4" t="n">
        <v>4</v>
      </c>
      <c r="O4" t="n">
        <v>1</v>
      </c>
      <c r="P4" t="n">
        <v>4</v>
      </c>
      <c r="Q4" t="n">
        <v>2</v>
      </c>
      <c r="R4" t="n">
        <v>12</v>
      </c>
    </row>
    <row r="6">
      <c r="A6" t="inlineStr">
        <is>
          <t>PNCs(particles/mg)</t>
        </is>
      </c>
    </row>
    <row r="8">
      <c r="A8" t="inlineStr">
        <is>
          <t>sampleID</t>
        </is>
      </c>
      <c r="B8" t="inlineStr">
        <is>
          <t>TE</t>
        </is>
      </c>
      <c r="C8" t="inlineStr">
        <is>
          <t>Dilutionfactor</t>
        </is>
      </c>
      <c r="D8" t="inlineStr">
        <is>
          <t>TotalsmFPs</t>
        </is>
      </c>
      <c r="E8" t="inlineStr">
        <is>
          <t>51V</t>
        </is>
      </c>
      <c r="F8" t="inlineStr">
        <is>
          <t>52Cr</t>
        </is>
      </c>
      <c r="G8" t="inlineStr">
        <is>
          <t>55Mn</t>
        </is>
      </c>
      <c r="H8" t="inlineStr">
        <is>
          <t>59Co</t>
        </is>
      </c>
      <c r="I8" t="inlineStr">
        <is>
          <t>60Ni</t>
        </is>
      </c>
      <c r="J8" t="inlineStr">
        <is>
          <t>63Cu</t>
        </is>
      </c>
      <c r="K8" t="inlineStr">
        <is>
          <t>66Zn</t>
        </is>
      </c>
      <c r="L8" t="inlineStr">
        <is>
          <t>75As</t>
        </is>
      </c>
      <c r="M8" t="inlineStr">
        <is>
          <t>111Cd</t>
        </is>
      </c>
      <c r="N8" t="inlineStr">
        <is>
          <t>120Sn</t>
        </is>
      </c>
      <c r="O8" t="inlineStr">
        <is>
          <t>121Sb</t>
        </is>
      </c>
      <c r="P8" t="inlineStr">
        <is>
          <t>138Ba</t>
        </is>
      </c>
      <c r="Q8" t="inlineStr">
        <is>
          <t>205Tl</t>
        </is>
      </c>
      <c r="R8" t="inlineStr">
        <is>
          <t>208Pb</t>
        </is>
      </c>
    </row>
    <row r="9">
      <c r="A9" t="inlineStr">
        <is>
          <t>CFPP2</t>
        </is>
      </c>
      <c r="B9" t="n">
        <v>0.4</v>
      </c>
      <c r="C9" t="n">
        <v>1000</v>
      </c>
      <c r="D9">
        <f>D2*$C9*60*50/($B9*0.02*150*20)</f>
        <v/>
      </c>
      <c r="E9">
        <f>E2*$C9*60*50/($B9*0.02*150*20)</f>
        <v/>
      </c>
      <c r="F9">
        <f>F2*$C9*60*50/($B9*0.02*150*20)</f>
        <v/>
      </c>
      <c r="G9">
        <f>G2*$C9*60*50/($B9*0.02*150*20)</f>
        <v/>
      </c>
      <c r="H9">
        <f>H2*$C9*60*50/($B9*0.02*150*20)</f>
        <v/>
      </c>
      <c r="I9">
        <f>I2*$C9*60*50/($B9*0.02*150*20)</f>
        <v/>
      </c>
      <c r="J9">
        <f>J2*$C9*60*50/($B9*0.02*150*20)</f>
        <v/>
      </c>
      <c r="K9">
        <f>K2*$C9*60*50/($B9*0.02*150*20)</f>
        <v/>
      </c>
      <c r="L9">
        <f>L2*$C9*60*50/($B9*0.02*150*20)</f>
        <v/>
      </c>
      <c r="M9">
        <f>M2*$C9*60*50/($B9*0.02*150*20)</f>
        <v/>
      </c>
      <c r="N9">
        <f>N2*$C9*60*50/($B9*0.02*150*20)</f>
        <v/>
      </c>
      <c r="O9">
        <f>O2*$C9*60*50/($B9*0.02*150*20)</f>
        <v/>
      </c>
      <c r="P9">
        <f>P2*$C9*60*50/($B9*0.02*150*20)</f>
        <v/>
      </c>
      <c r="Q9">
        <f>Q2*$C9*60*50/($B9*0.02*150*20)</f>
        <v/>
      </c>
      <c r="R9">
        <f>R2*$C9*60*50/($B9*0.02*150*20)</f>
        <v/>
      </c>
    </row>
    <row r="10">
      <c r="A10" t="inlineStr">
        <is>
          <t>COP11</t>
        </is>
      </c>
      <c r="B10" t="n">
        <v>0.4</v>
      </c>
      <c r="C10" t="n">
        <v>1000</v>
      </c>
      <c r="D10">
        <f>D3*$C10*60*50/($B10*0.02*150*20)</f>
        <v/>
      </c>
      <c r="E10">
        <f>E3*$C10*60*50/($B10*0.02*150*20)</f>
        <v/>
      </c>
      <c r="F10">
        <f>F3*$C10*60*50/($B10*0.02*150*20)</f>
        <v/>
      </c>
      <c r="G10">
        <f>G3*$C10*60*50/($B10*0.02*150*20)</f>
        <v/>
      </c>
      <c r="H10">
        <f>H3*$C10*60*50/($B10*0.02*150*20)</f>
        <v/>
      </c>
      <c r="I10">
        <f>I3*$C10*60*50/($B10*0.02*150*20)</f>
        <v/>
      </c>
      <c r="J10">
        <f>J3*$C10*60*50/($B10*0.02*150*20)</f>
        <v/>
      </c>
      <c r="K10">
        <f>K3*$C10*60*50/($B10*0.02*150*20)</f>
        <v/>
      </c>
      <c r="L10">
        <f>L3*$C10*60*50/($B10*0.02*150*20)</f>
        <v/>
      </c>
      <c r="M10">
        <f>M3*$C10*60*50/($B10*0.02*150*20)</f>
        <v/>
      </c>
      <c r="N10">
        <f>N3*$C10*60*50/($B10*0.02*150*20)</f>
        <v/>
      </c>
      <c r="O10">
        <f>O3*$C10*60*50/($B10*0.02*150*20)</f>
        <v/>
      </c>
      <c r="P10">
        <f>P3*$C10*60*50/($B10*0.02*150*20)</f>
        <v/>
      </c>
      <c r="Q10">
        <f>Q3*$C10*60*50/($B10*0.02*150*20)</f>
        <v/>
      </c>
      <c r="R10">
        <f>R3*$C10*60*50/($B10*0.02*150*20)</f>
        <v/>
      </c>
    </row>
    <row r="11">
      <c r="A11" t="inlineStr">
        <is>
          <t>EAF10</t>
        </is>
      </c>
      <c r="B11" t="n">
        <v>0.4</v>
      </c>
      <c r="C11" t="n">
        <v>5000</v>
      </c>
      <c r="D11">
        <f>D4*$C11*60*50/($B11*0.02*150*20)</f>
        <v/>
      </c>
      <c r="E11">
        <f>E4*$C11*60*50/($B11*0.02*150*20)</f>
        <v/>
      </c>
      <c r="F11">
        <f>F4*$C11*60*50/($B11*0.02*150*20)</f>
        <v/>
      </c>
      <c r="G11">
        <f>G4*$C11*60*50/($B11*0.02*150*20)</f>
        <v/>
      </c>
      <c r="H11">
        <f>H4*$C11*60*50/($B11*0.02*150*20)</f>
        <v/>
      </c>
      <c r="I11">
        <f>I4*$C11*60*50/($B11*0.02*150*20)</f>
        <v/>
      </c>
      <c r="J11">
        <f>J4*$C11*60*50/($B11*0.02*150*20)</f>
        <v/>
      </c>
      <c r="K11">
        <f>K4*$C11*60*50/($B11*0.02*150*20)</f>
        <v/>
      </c>
      <c r="L11">
        <f>L4*$C11*60*50/($B11*0.02*150*20)</f>
        <v/>
      </c>
      <c r="M11">
        <f>M4*$C11*60*50/($B11*0.02*150*20)</f>
        <v/>
      </c>
      <c r="N11">
        <f>N4*$C11*60*50/($B11*0.02*150*20)</f>
        <v/>
      </c>
      <c r="O11">
        <f>O4*$C11*60*50/($B11*0.02*150*20)</f>
        <v/>
      </c>
      <c r="P11">
        <f>P4*$C11*60*50/($B11*0.02*150*20)</f>
        <v/>
      </c>
      <c r="Q11">
        <f>Q4*$C11*60*50/($B11*0.02*150*20)</f>
        <v/>
      </c>
      <c r="R11">
        <f>R4*$C11*60*50/($B11*0.02*150*20)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TE</t>
        </is>
      </c>
      <c r="C1" t="inlineStr">
        <is>
          <t>Dilutionfactor</t>
        </is>
      </c>
      <c r="D1" t="inlineStr">
        <is>
          <t>TotalmmFPs</t>
        </is>
      </c>
      <c r="E1" t="inlineStr">
        <is>
          <t>51V</t>
        </is>
      </c>
      <c r="F1" t="inlineStr">
        <is>
          <t>52Cr</t>
        </is>
      </c>
      <c r="G1" t="inlineStr">
        <is>
          <t>55Mn</t>
        </is>
      </c>
      <c r="H1" t="inlineStr">
        <is>
          <t>59Co</t>
        </is>
      </c>
      <c r="I1" t="inlineStr">
        <is>
          <t>60Ni</t>
        </is>
      </c>
      <c r="J1" t="inlineStr">
        <is>
          <t>63Cu</t>
        </is>
      </c>
      <c r="K1" t="inlineStr">
        <is>
          <t>66Zn</t>
        </is>
      </c>
      <c r="L1" t="inlineStr">
        <is>
          <t>75As</t>
        </is>
      </c>
      <c r="M1" t="inlineStr">
        <is>
          <t>111Cd</t>
        </is>
      </c>
      <c r="N1" t="inlineStr">
        <is>
          <t>120Sn</t>
        </is>
      </c>
      <c r="O1" t="inlineStr">
        <is>
          <t>121Sb</t>
        </is>
      </c>
      <c r="P1" t="inlineStr">
        <is>
          <t>138Ba</t>
        </is>
      </c>
      <c r="Q1" t="inlineStr">
        <is>
          <t>205Tl</t>
        </is>
      </c>
      <c r="R1" t="inlineStr">
        <is>
          <t>208Pb</t>
        </is>
      </c>
    </row>
    <row r="2">
      <c r="A2" t="inlineStr">
        <is>
          <t>CFPP2</t>
        </is>
      </c>
      <c r="B2" t="n">
        <v>0.4</v>
      </c>
      <c r="C2" t="n">
        <v>1000</v>
      </c>
      <c r="D2" t="n">
        <v>383</v>
      </c>
      <c r="E2" t="n">
        <v>14</v>
      </c>
      <c r="F2" t="n">
        <v>9</v>
      </c>
      <c r="G2" t="n">
        <v>107</v>
      </c>
      <c r="H2" t="n">
        <v>5</v>
      </c>
      <c r="I2" t="n">
        <v>1</v>
      </c>
      <c r="J2" t="n">
        <v>7</v>
      </c>
      <c r="K2" t="n">
        <v>20</v>
      </c>
      <c r="L2" t="n">
        <v>0</v>
      </c>
      <c r="M2" t="n">
        <v>0</v>
      </c>
      <c r="N2" t="n">
        <v>3</v>
      </c>
      <c r="O2" t="n">
        <v>2</v>
      </c>
      <c r="P2" t="n">
        <v>131</v>
      </c>
      <c r="Q2" t="n">
        <v>0</v>
      </c>
      <c r="R2" t="n">
        <v>84</v>
      </c>
    </row>
    <row r="3">
      <c r="A3" t="inlineStr">
        <is>
          <t>COP11</t>
        </is>
      </c>
      <c r="B3" t="n">
        <v>0.4</v>
      </c>
      <c r="C3" t="n">
        <v>1000</v>
      </c>
      <c r="D3" t="n">
        <v>142</v>
      </c>
      <c r="E3" t="n">
        <v>2</v>
      </c>
      <c r="F3" t="n">
        <v>4</v>
      </c>
      <c r="G3" t="n">
        <v>17</v>
      </c>
      <c r="H3" t="n">
        <v>0</v>
      </c>
      <c r="I3" t="n">
        <v>1</v>
      </c>
      <c r="J3" t="n">
        <v>1</v>
      </c>
      <c r="K3" t="n">
        <v>22</v>
      </c>
      <c r="L3" t="n">
        <v>0</v>
      </c>
      <c r="M3" t="n">
        <v>0</v>
      </c>
      <c r="N3" t="n">
        <v>4</v>
      </c>
      <c r="O3" t="n">
        <v>2</v>
      </c>
      <c r="P3" t="n">
        <v>16</v>
      </c>
      <c r="Q3" t="n">
        <v>0</v>
      </c>
      <c r="R3" t="n">
        <v>73</v>
      </c>
    </row>
    <row r="4">
      <c r="A4" t="inlineStr">
        <is>
          <t>EAF10</t>
        </is>
      </c>
      <c r="B4" t="n">
        <v>0.4</v>
      </c>
      <c r="C4" t="n">
        <v>5000</v>
      </c>
      <c r="D4" t="n">
        <v>592</v>
      </c>
      <c r="E4" t="n">
        <v>2</v>
      </c>
      <c r="F4" t="n">
        <v>29</v>
      </c>
      <c r="G4" t="n">
        <v>247</v>
      </c>
      <c r="H4" t="n">
        <v>1</v>
      </c>
      <c r="I4" t="n">
        <v>1</v>
      </c>
      <c r="J4" t="n">
        <v>12</v>
      </c>
      <c r="K4" t="n">
        <v>235</v>
      </c>
      <c r="L4" t="n">
        <v>0</v>
      </c>
      <c r="M4" t="n">
        <v>0</v>
      </c>
      <c r="N4" t="n">
        <v>4</v>
      </c>
      <c r="O4" t="n">
        <v>1</v>
      </c>
      <c r="P4" t="n">
        <v>1</v>
      </c>
      <c r="Q4" t="n">
        <v>0</v>
      </c>
      <c r="R4" t="n">
        <v>59</v>
      </c>
    </row>
    <row r="6">
      <c r="A6" t="inlineStr">
        <is>
          <t>PNCs(particles/mg)</t>
        </is>
      </c>
    </row>
    <row r="8">
      <c r="A8" t="inlineStr">
        <is>
          <t>sampleID</t>
        </is>
      </c>
      <c r="B8" t="inlineStr">
        <is>
          <t>TE</t>
        </is>
      </c>
      <c r="C8" t="inlineStr">
        <is>
          <t>Dilutionfactor</t>
        </is>
      </c>
      <c r="D8" t="inlineStr">
        <is>
          <t>TotalmmFPs</t>
        </is>
      </c>
      <c r="E8" t="inlineStr">
        <is>
          <t>51V</t>
        </is>
      </c>
      <c r="F8" t="inlineStr">
        <is>
          <t>52Cr</t>
        </is>
      </c>
      <c r="G8" t="inlineStr">
        <is>
          <t>55Mn</t>
        </is>
      </c>
      <c r="H8" t="inlineStr">
        <is>
          <t>59Co</t>
        </is>
      </c>
      <c r="I8" t="inlineStr">
        <is>
          <t>60Ni</t>
        </is>
      </c>
      <c r="J8" t="inlineStr">
        <is>
          <t>63Cu</t>
        </is>
      </c>
      <c r="K8" t="inlineStr">
        <is>
          <t>66Zn</t>
        </is>
      </c>
      <c r="L8" t="inlineStr">
        <is>
          <t>75As</t>
        </is>
      </c>
      <c r="M8" t="inlineStr">
        <is>
          <t>111Cd</t>
        </is>
      </c>
      <c r="N8" t="inlineStr">
        <is>
          <t>120Sn</t>
        </is>
      </c>
      <c r="O8" t="inlineStr">
        <is>
          <t>121Sb</t>
        </is>
      </c>
      <c r="P8" t="inlineStr">
        <is>
          <t>138Ba</t>
        </is>
      </c>
      <c r="Q8" t="inlineStr">
        <is>
          <t>205Tl</t>
        </is>
      </c>
      <c r="R8" t="inlineStr">
        <is>
          <t>208Pb</t>
        </is>
      </c>
    </row>
    <row r="9">
      <c r="A9" t="inlineStr">
        <is>
          <t>CFPP2</t>
        </is>
      </c>
      <c r="B9" t="n">
        <v>0.4</v>
      </c>
      <c r="C9" t="n">
        <v>1000</v>
      </c>
      <c r="D9">
        <f>D2*$C9*60*50/($B9*0.02*150*20)</f>
        <v/>
      </c>
      <c r="E9">
        <f>E2*$C9*60*50/($B9*0.02*150*20)</f>
        <v/>
      </c>
      <c r="F9">
        <f>F2*$C9*60*50/($B9*0.02*150*20)</f>
        <v/>
      </c>
      <c r="G9">
        <f>G2*$C9*60*50/($B9*0.02*150*20)</f>
        <v/>
      </c>
      <c r="H9">
        <f>H2*$C9*60*50/($B9*0.02*150*20)</f>
        <v/>
      </c>
      <c r="I9">
        <f>I2*$C9*60*50/($B9*0.02*150*20)</f>
        <v/>
      </c>
      <c r="J9">
        <f>J2*$C9*60*50/($B9*0.02*150*20)</f>
        <v/>
      </c>
      <c r="K9">
        <f>K2*$C9*60*50/($B9*0.02*150*20)</f>
        <v/>
      </c>
      <c r="L9">
        <f>L2*$C9*60*50/($B9*0.02*150*20)</f>
        <v/>
      </c>
      <c r="M9">
        <f>M2*$C9*60*50/($B9*0.02*150*20)</f>
        <v/>
      </c>
      <c r="N9">
        <f>N2*$C9*60*50/($B9*0.02*150*20)</f>
        <v/>
      </c>
      <c r="O9">
        <f>O2*$C9*60*50/($B9*0.02*150*20)</f>
        <v/>
      </c>
      <c r="P9">
        <f>P2*$C9*60*50/($B9*0.02*150*20)</f>
        <v/>
      </c>
      <c r="Q9">
        <f>Q2*$C9*60*50/($B9*0.02*150*20)</f>
        <v/>
      </c>
      <c r="R9">
        <f>R2*$C9*60*50/($B9*0.02*150*20)</f>
        <v/>
      </c>
    </row>
    <row r="10">
      <c r="A10" t="inlineStr">
        <is>
          <t>COP11</t>
        </is>
      </c>
      <c r="B10" t="n">
        <v>0.4</v>
      </c>
      <c r="C10" t="n">
        <v>1000</v>
      </c>
      <c r="D10">
        <f>D3*$C10*60*50/($B10*0.02*150*20)</f>
        <v/>
      </c>
      <c r="E10">
        <f>E3*$C10*60*50/($B10*0.02*150*20)</f>
        <v/>
      </c>
      <c r="F10">
        <f>F3*$C10*60*50/($B10*0.02*150*20)</f>
        <v/>
      </c>
      <c r="G10">
        <f>G3*$C10*60*50/($B10*0.02*150*20)</f>
        <v/>
      </c>
      <c r="H10">
        <f>H3*$C10*60*50/($B10*0.02*150*20)</f>
        <v/>
      </c>
      <c r="I10">
        <f>I3*$C10*60*50/($B10*0.02*150*20)</f>
        <v/>
      </c>
      <c r="J10">
        <f>J3*$C10*60*50/($B10*0.02*150*20)</f>
        <v/>
      </c>
      <c r="K10">
        <f>K3*$C10*60*50/($B10*0.02*150*20)</f>
        <v/>
      </c>
      <c r="L10">
        <f>L3*$C10*60*50/($B10*0.02*150*20)</f>
        <v/>
      </c>
      <c r="M10">
        <f>M3*$C10*60*50/($B10*0.02*150*20)</f>
        <v/>
      </c>
      <c r="N10">
        <f>N3*$C10*60*50/($B10*0.02*150*20)</f>
        <v/>
      </c>
      <c r="O10">
        <f>O3*$C10*60*50/($B10*0.02*150*20)</f>
        <v/>
      </c>
      <c r="P10">
        <f>P3*$C10*60*50/($B10*0.02*150*20)</f>
        <v/>
      </c>
      <c r="Q10">
        <f>Q3*$C10*60*50/($B10*0.02*150*20)</f>
        <v/>
      </c>
      <c r="R10">
        <f>R3*$C10*60*50/($B10*0.02*150*20)</f>
        <v/>
      </c>
    </row>
    <row r="11">
      <c r="A11" t="inlineStr">
        <is>
          <t>EAF10</t>
        </is>
      </c>
      <c r="B11" t="n">
        <v>0.4</v>
      </c>
      <c r="C11" t="n">
        <v>5000</v>
      </c>
      <c r="D11">
        <f>D4*$C11*60*50/($B11*0.02*150*20)</f>
        <v/>
      </c>
      <c r="E11">
        <f>E4*$C11*60*50/($B11*0.02*150*20)</f>
        <v/>
      </c>
      <c r="F11">
        <f>F4*$C11*60*50/($B11*0.02*150*20)</f>
        <v/>
      </c>
      <c r="G11">
        <f>G4*$C11*60*50/($B11*0.02*150*20)</f>
        <v/>
      </c>
      <c r="H11">
        <f>H4*$C11*60*50/($B11*0.02*150*20)</f>
        <v/>
      </c>
      <c r="I11">
        <f>I4*$C11*60*50/($B11*0.02*150*20)</f>
        <v/>
      </c>
      <c r="J11">
        <f>J4*$C11*60*50/($B11*0.02*150*20)</f>
        <v/>
      </c>
      <c r="K11">
        <f>K4*$C11*60*50/($B11*0.02*150*20)</f>
        <v/>
      </c>
      <c r="L11">
        <f>L4*$C11*60*50/($B11*0.02*150*20)</f>
        <v/>
      </c>
      <c r="M11">
        <f>M4*$C11*60*50/($B11*0.02*150*20)</f>
        <v/>
      </c>
      <c r="N11">
        <f>N4*$C11*60*50/($B11*0.02*150*20)</f>
        <v/>
      </c>
      <c r="O11">
        <f>O4*$C11*60*50/($B11*0.02*150*20)</f>
        <v/>
      </c>
      <c r="P11">
        <f>P4*$C11*60*50/($B11*0.02*150*20)</f>
        <v/>
      </c>
      <c r="Q11">
        <f>Q4*$C11*60*50/($B11*0.02*150*20)</f>
        <v/>
      </c>
      <c r="R11">
        <f>R4*$C11*60*50/($B11*0.02*150*20)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TE</t>
        </is>
      </c>
      <c r="C1" t="inlineStr">
        <is>
          <t>Dilutionfactor</t>
        </is>
      </c>
      <c r="D1" t="inlineStr">
        <is>
          <t>TotalFPs</t>
        </is>
      </c>
      <c r="E1" t="inlineStr">
        <is>
          <t>51V</t>
        </is>
      </c>
      <c r="F1" t="inlineStr">
        <is>
          <t>52Cr</t>
        </is>
      </c>
      <c r="G1" t="inlineStr">
        <is>
          <t>55Mn</t>
        </is>
      </c>
      <c r="H1" t="inlineStr">
        <is>
          <t>59Co</t>
        </is>
      </c>
      <c r="I1" t="inlineStr">
        <is>
          <t>60Ni</t>
        </is>
      </c>
      <c r="J1" t="inlineStr">
        <is>
          <t>63Cu</t>
        </is>
      </c>
      <c r="K1" t="inlineStr">
        <is>
          <t>66Zn</t>
        </is>
      </c>
      <c r="L1" t="inlineStr">
        <is>
          <t>75As</t>
        </is>
      </c>
      <c r="M1" t="inlineStr">
        <is>
          <t>111Cd</t>
        </is>
      </c>
      <c r="N1" t="inlineStr">
        <is>
          <t>120Sn</t>
        </is>
      </c>
      <c r="O1" t="inlineStr">
        <is>
          <t>121Sb</t>
        </is>
      </c>
      <c r="P1" t="inlineStr">
        <is>
          <t>138Ba</t>
        </is>
      </c>
      <c r="Q1" t="inlineStr">
        <is>
          <t>205Tl</t>
        </is>
      </c>
      <c r="R1" t="inlineStr">
        <is>
          <t>208Pb</t>
        </is>
      </c>
    </row>
    <row r="2">
      <c r="A2" t="inlineStr">
        <is>
          <t>CFPP2</t>
        </is>
      </c>
      <c r="B2" t="n">
        <v>0.4</v>
      </c>
      <c r="C2" t="n">
        <v>1000</v>
      </c>
      <c r="D2" t="n">
        <v>505</v>
      </c>
      <c r="E2" t="n">
        <v>21</v>
      </c>
      <c r="F2" t="n">
        <v>42</v>
      </c>
      <c r="G2" t="n">
        <v>129</v>
      </c>
      <c r="H2" t="n">
        <v>11</v>
      </c>
      <c r="I2" t="n">
        <v>22</v>
      </c>
      <c r="J2" t="n">
        <v>9</v>
      </c>
      <c r="K2" t="n">
        <v>30</v>
      </c>
      <c r="L2" t="n">
        <v>2</v>
      </c>
      <c r="M2" t="n">
        <v>2</v>
      </c>
      <c r="N2" t="n">
        <v>5</v>
      </c>
      <c r="O2" t="n">
        <v>4</v>
      </c>
      <c r="P2" t="n">
        <v>134</v>
      </c>
      <c r="Q2" t="n">
        <v>3</v>
      </c>
      <c r="R2" t="n">
        <v>91</v>
      </c>
    </row>
    <row r="3">
      <c r="A3" t="inlineStr">
        <is>
          <t>COP11</t>
        </is>
      </c>
      <c r="B3" t="n">
        <v>0.4</v>
      </c>
      <c r="C3" t="n">
        <v>1000</v>
      </c>
      <c r="D3" t="n">
        <v>635</v>
      </c>
      <c r="E3" t="n">
        <v>4</v>
      </c>
      <c r="F3" t="n">
        <v>20</v>
      </c>
      <c r="G3" t="n">
        <v>43</v>
      </c>
      <c r="H3" t="n">
        <v>1</v>
      </c>
      <c r="I3" t="n">
        <v>9</v>
      </c>
      <c r="J3" t="n">
        <v>3</v>
      </c>
      <c r="K3" t="n">
        <v>29</v>
      </c>
      <c r="L3" t="n">
        <v>2</v>
      </c>
      <c r="M3" t="n">
        <v>1</v>
      </c>
      <c r="N3" t="n">
        <v>11</v>
      </c>
      <c r="O3" t="n">
        <v>4</v>
      </c>
      <c r="P3" t="n">
        <v>18</v>
      </c>
      <c r="Q3" t="n">
        <v>2</v>
      </c>
      <c r="R3" t="n">
        <v>488</v>
      </c>
    </row>
    <row r="4">
      <c r="A4" t="inlineStr">
        <is>
          <t>EAF10</t>
        </is>
      </c>
      <c r="B4" t="n">
        <v>0.4</v>
      </c>
      <c r="C4" t="n">
        <v>5000</v>
      </c>
      <c r="D4" t="n">
        <v>853</v>
      </c>
      <c r="E4" t="n">
        <v>4</v>
      </c>
      <c r="F4" t="n">
        <v>47</v>
      </c>
      <c r="G4" t="n">
        <v>356</v>
      </c>
      <c r="H4" t="n">
        <v>2</v>
      </c>
      <c r="I4" t="n">
        <v>38</v>
      </c>
      <c r="J4" t="n">
        <v>15</v>
      </c>
      <c r="K4" t="n">
        <v>300</v>
      </c>
      <c r="L4" t="n">
        <v>0</v>
      </c>
      <c r="M4" t="n">
        <v>3</v>
      </c>
      <c r="N4" t="n">
        <v>8</v>
      </c>
      <c r="O4" t="n">
        <v>2</v>
      </c>
      <c r="P4" t="n">
        <v>5</v>
      </c>
      <c r="Q4" t="n">
        <v>2</v>
      </c>
      <c r="R4" t="n">
        <v>71</v>
      </c>
    </row>
    <row r="6">
      <c r="A6" t="inlineStr">
        <is>
          <t>PNCs(particles/mg)</t>
        </is>
      </c>
    </row>
    <row r="8">
      <c r="A8" t="inlineStr">
        <is>
          <t>sampleID</t>
        </is>
      </c>
      <c r="B8" t="inlineStr">
        <is>
          <t>TE</t>
        </is>
      </c>
      <c r="C8" t="inlineStr">
        <is>
          <t>Dilutionfactor</t>
        </is>
      </c>
      <c r="D8" t="inlineStr">
        <is>
          <t>TotalFPs</t>
        </is>
      </c>
      <c r="E8" t="inlineStr">
        <is>
          <t>51V</t>
        </is>
      </c>
      <c r="F8" t="inlineStr">
        <is>
          <t>52Cr</t>
        </is>
      </c>
      <c r="G8" t="inlineStr">
        <is>
          <t>55Mn</t>
        </is>
      </c>
      <c r="H8" t="inlineStr">
        <is>
          <t>59Co</t>
        </is>
      </c>
      <c r="I8" t="inlineStr">
        <is>
          <t>60Ni</t>
        </is>
      </c>
      <c r="J8" t="inlineStr">
        <is>
          <t>63Cu</t>
        </is>
      </c>
      <c r="K8" t="inlineStr">
        <is>
          <t>66Zn</t>
        </is>
      </c>
      <c r="L8" t="inlineStr">
        <is>
          <t>75As</t>
        </is>
      </c>
      <c r="M8" t="inlineStr">
        <is>
          <t>111Cd</t>
        </is>
      </c>
      <c r="N8" t="inlineStr">
        <is>
          <t>120Sn</t>
        </is>
      </c>
      <c r="O8" t="inlineStr">
        <is>
          <t>121Sb</t>
        </is>
      </c>
      <c r="P8" t="inlineStr">
        <is>
          <t>138Ba</t>
        </is>
      </c>
      <c r="Q8" t="inlineStr">
        <is>
          <t>205Tl</t>
        </is>
      </c>
      <c r="R8" t="inlineStr">
        <is>
          <t>208Pb</t>
        </is>
      </c>
    </row>
    <row r="9">
      <c r="A9" t="inlineStr">
        <is>
          <t>CFPP2</t>
        </is>
      </c>
      <c r="B9" t="n">
        <v>0.4</v>
      </c>
      <c r="C9" t="n">
        <v>1000</v>
      </c>
      <c r="D9">
        <f>D2*$C9*60*50/($B9*0.02*150*20)</f>
        <v/>
      </c>
      <c r="E9">
        <f>E2*$C9*60*50/($B9*0.02*150*20)</f>
        <v/>
      </c>
      <c r="F9">
        <f>F2*$C9*60*50/($B9*0.02*150*20)</f>
        <v/>
      </c>
      <c r="G9">
        <f>G2*$C9*60*50/($B9*0.02*150*20)</f>
        <v/>
      </c>
      <c r="H9">
        <f>H2*$C9*60*50/($B9*0.02*150*20)</f>
        <v/>
      </c>
      <c r="I9">
        <f>I2*$C9*60*50/($B9*0.02*150*20)</f>
        <v/>
      </c>
      <c r="J9">
        <f>J2*$C9*60*50/($B9*0.02*150*20)</f>
        <v/>
      </c>
      <c r="K9">
        <f>K2*$C9*60*50/($B9*0.02*150*20)</f>
        <v/>
      </c>
      <c r="L9">
        <f>L2*$C9*60*50/($B9*0.02*150*20)</f>
        <v/>
      </c>
      <c r="M9">
        <f>M2*$C9*60*50/($B9*0.02*150*20)</f>
        <v/>
      </c>
      <c r="N9">
        <f>N2*$C9*60*50/($B9*0.02*150*20)</f>
        <v/>
      </c>
      <c r="O9">
        <f>O2*$C9*60*50/($B9*0.02*150*20)</f>
        <v/>
      </c>
      <c r="P9">
        <f>P2*$C9*60*50/($B9*0.02*150*20)</f>
        <v/>
      </c>
      <c r="Q9">
        <f>Q2*$C9*60*50/($B9*0.02*150*20)</f>
        <v/>
      </c>
      <c r="R9">
        <f>R2*$C9*60*50/($B9*0.02*150*20)</f>
        <v/>
      </c>
    </row>
    <row r="10">
      <c r="A10" t="inlineStr">
        <is>
          <t>COP11</t>
        </is>
      </c>
      <c r="B10" t="n">
        <v>0.4</v>
      </c>
      <c r="C10" t="n">
        <v>1000</v>
      </c>
      <c r="D10">
        <f>D3*$C10*60*50/($B10*0.02*150*20)</f>
        <v/>
      </c>
      <c r="E10">
        <f>E3*$C10*60*50/($B10*0.02*150*20)</f>
        <v/>
      </c>
      <c r="F10">
        <f>F3*$C10*60*50/($B10*0.02*150*20)</f>
        <v/>
      </c>
      <c r="G10">
        <f>G3*$C10*60*50/($B10*0.02*150*20)</f>
        <v/>
      </c>
      <c r="H10">
        <f>H3*$C10*60*50/($B10*0.02*150*20)</f>
        <v/>
      </c>
      <c r="I10">
        <f>I3*$C10*60*50/($B10*0.02*150*20)</f>
        <v/>
      </c>
      <c r="J10">
        <f>J3*$C10*60*50/($B10*0.02*150*20)</f>
        <v/>
      </c>
      <c r="K10">
        <f>K3*$C10*60*50/($B10*0.02*150*20)</f>
        <v/>
      </c>
      <c r="L10">
        <f>L3*$C10*60*50/($B10*0.02*150*20)</f>
        <v/>
      </c>
      <c r="M10">
        <f>M3*$C10*60*50/($B10*0.02*150*20)</f>
        <v/>
      </c>
      <c r="N10">
        <f>N3*$C10*60*50/($B10*0.02*150*20)</f>
        <v/>
      </c>
      <c r="O10">
        <f>O3*$C10*60*50/($B10*0.02*150*20)</f>
        <v/>
      </c>
      <c r="P10">
        <f>P3*$C10*60*50/($B10*0.02*150*20)</f>
        <v/>
      </c>
      <c r="Q10">
        <f>Q3*$C10*60*50/($B10*0.02*150*20)</f>
        <v/>
      </c>
      <c r="R10">
        <f>R3*$C10*60*50/($B10*0.02*150*20)</f>
        <v/>
      </c>
    </row>
    <row r="11">
      <c r="A11" t="inlineStr">
        <is>
          <t>EAF10</t>
        </is>
      </c>
      <c r="B11" t="n">
        <v>0.4</v>
      </c>
      <c r="C11" t="n">
        <v>5000</v>
      </c>
      <c r="D11">
        <f>D4*$C11*60*50/($B11*0.02*150*20)</f>
        <v/>
      </c>
      <c r="E11">
        <f>E4*$C11*60*50/($B11*0.02*150*20)</f>
        <v/>
      </c>
      <c r="F11">
        <f>F4*$C11*60*50/($B11*0.02*150*20)</f>
        <v/>
      </c>
      <c r="G11">
        <f>G4*$C11*60*50/($B11*0.02*150*20)</f>
        <v/>
      </c>
      <c r="H11">
        <f>H4*$C11*60*50/($B11*0.02*150*20)</f>
        <v/>
      </c>
      <c r="I11">
        <f>I4*$C11*60*50/($B11*0.02*150*20)</f>
        <v/>
      </c>
      <c r="J11">
        <f>J4*$C11*60*50/($B11*0.02*150*20)</f>
        <v/>
      </c>
      <c r="K11">
        <f>K4*$C11*60*50/($B11*0.02*150*20)</f>
        <v/>
      </c>
      <c r="L11">
        <f>L4*$C11*60*50/($B11*0.02*150*20)</f>
        <v/>
      </c>
      <c r="M11">
        <f>M4*$C11*60*50/($B11*0.02*150*20)</f>
        <v/>
      </c>
      <c r="N11">
        <f>N4*$C11*60*50/($B11*0.02*150*20)</f>
        <v/>
      </c>
      <c r="O11">
        <f>O4*$C11*60*50/($B11*0.02*150*20)</f>
        <v/>
      </c>
      <c r="P11">
        <f>P4*$C11*60*50/($B11*0.02*150*20)</f>
        <v/>
      </c>
      <c r="Q11">
        <f>Q4*$C11*60*50/($B11*0.02*150*20)</f>
        <v/>
      </c>
      <c r="R11">
        <f>R4*$C11*60*50/($B11*0.02*150*20)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TE</t>
        </is>
      </c>
      <c r="C1" t="inlineStr">
        <is>
          <t>Dilutionfactor</t>
        </is>
      </c>
      <c r="D1" t="inlineStr">
        <is>
          <t>Total0.1FPs</t>
        </is>
      </c>
      <c r="E1" t="inlineStr">
        <is>
          <t>51V</t>
        </is>
      </c>
      <c r="F1" t="inlineStr">
        <is>
          <t>52Cr</t>
        </is>
      </c>
      <c r="G1" t="inlineStr">
        <is>
          <t>55Mn</t>
        </is>
      </c>
      <c r="H1" t="inlineStr">
        <is>
          <t>59Co</t>
        </is>
      </c>
      <c r="I1" t="inlineStr">
        <is>
          <t>60Ni</t>
        </is>
      </c>
      <c r="J1" t="inlineStr">
        <is>
          <t>63Cu</t>
        </is>
      </c>
      <c r="K1" t="inlineStr">
        <is>
          <t>66Zn</t>
        </is>
      </c>
      <c r="L1" t="inlineStr">
        <is>
          <t>75As</t>
        </is>
      </c>
      <c r="M1" t="inlineStr">
        <is>
          <t>111Cd</t>
        </is>
      </c>
      <c r="N1" t="inlineStr">
        <is>
          <t>120Sn</t>
        </is>
      </c>
      <c r="O1" t="inlineStr">
        <is>
          <t>121Sb</t>
        </is>
      </c>
      <c r="P1" t="inlineStr">
        <is>
          <t>138Ba</t>
        </is>
      </c>
      <c r="Q1" t="inlineStr">
        <is>
          <t>205Tl</t>
        </is>
      </c>
      <c r="R1" t="inlineStr">
        <is>
          <t>208Pb</t>
        </is>
      </c>
    </row>
    <row r="2">
      <c r="A2" t="inlineStr">
        <is>
          <t>CFPP2</t>
        </is>
      </c>
      <c r="B2" t="n">
        <v>0.4</v>
      </c>
      <c r="C2" t="n">
        <v>1000</v>
      </c>
      <c r="D2" t="n">
        <v>334</v>
      </c>
      <c r="E2" t="n">
        <v>13</v>
      </c>
      <c r="F2" t="n">
        <v>4</v>
      </c>
      <c r="G2" t="n">
        <v>89</v>
      </c>
      <c r="H2" t="n">
        <v>5</v>
      </c>
      <c r="I2" t="n">
        <v>1</v>
      </c>
      <c r="J2" t="n">
        <v>6</v>
      </c>
      <c r="K2" t="n">
        <v>16</v>
      </c>
      <c r="L2" t="n">
        <v>0</v>
      </c>
      <c r="M2" t="n">
        <v>0</v>
      </c>
      <c r="N2" t="n">
        <v>2</v>
      </c>
      <c r="O2" t="n">
        <v>2</v>
      </c>
      <c r="P2" t="n">
        <v>115</v>
      </c>
      <c r="Q2" t="n">
        <v>0</v>
      </c>
      <c r="R2" t="n">
        <v>81</v>
      </c>
    </row>
    <row r="3">
      <c r="A3" t="inlineStr">
        <is>
          <t>COP11</t>
        </is>
      </c>
      <c r="B3" t="n">
        <v>0.4</v>
      </c>
      <c r="C3" t="n">
        <v>1000</v>
      </c>
      <c r="D3" t="n">
        <v>68</v>
      </c>
      <c r="E3" t="n">
        <v>2</v>
      </c>
      <c r="F3" t="n">
        <v>3</v>
      </c>
      <c r="G3" t="n">
        <v>9</v>
      </c>
      <c r="H3" t="n">
        <v>0</v>
      </c>
      <c r="I3" t="n">
        <v>0</v>
      </c>
      <c r="J3" t="n">
        <v>1</v>
      </c>
      <c r="K3" t="n">
        <v>3</v>
      </c>
      <c r="L3" t="n">
        <v>0</v>
      </c>
      <c r="M3" t="n">
        <v>0</v>
      </c>
      <c r="N3" t="n">
        <v>0</v>
      </c>
      <c r="O3" t="n">
        <v>1</v>
      </c>
      <c r="P3" t="n">
        <v>13</v>
      </c>
      <c r="Q3" t="n">
        <v>0</v>
      </c>
      <c r="R3" t="n">
        <v>36</v>
      </c>
    </row>
    <row r="4">
      <c r="A4" t="inlineStr">
        <is>
          <t>EAF10</t>
        </is>
      </c>
      <c r="B4" t="n">
        <v>0.4</v>
      </c>
      <c r="C4" t="n">
        <v>5000</v>
      </c>
      <c r="D4" t="n">
        <v>180</v>
      </c>
      <c r="E4" t="n">
        <v>2</v>
      </c>
      <c r="F4" t="n">
        <v>18</v>
      </c>
      <c r="G4" t="n">
        <v>79</v>
      </c>
      <c r="H4" t="n">
        <v>1</v>
      </c>
      <c r="I4" t="n">
        <v>1</v>
      </c>
      <c r="J4" t="n">
        <v>11</v>
      </c>
      <c r="K4" t="n">
        <v>7</v>
      </c>
      <c r="L4" t="n">
        <v>0</v>
      </c>
      <c r="M4" t="n">
        <v>0</v>
      </c>
      <c r="N4" t="n">
        <v>4</v>
      </c>
      <c r="O4" t="n">
        <v>1</v>
      </c>
      <c r="P4" t="n">
        <v>0</v>
      </c>
      <c r="Q4" t="n">
        <v>0</v>
      </c>
      <c r="R4" t="n">
        <v>56</v>
      </c>
    </row>
    <row r="6">
      <c r="A6" t="inlineStr">
        <is>
          <t>PNCs(particles/mg)</t>
        </is>
      </c>
    </row>
    <row r="8">
      <c r="A8" t="inlineStr">
        <is>
          <t>sampleID</t>
        </is>
      </c>
      <c r="B8" t="inlineStr">
        <is>
          <t>TE</t>
        </is>
      </c>
      <c r="C8" t="inlineStr">
        <is>
          <t>Dilutionfactor</t>
        </is>
      </c>
      <c r="D8" t="inlineStr">
        <is>
          <t>Total0.1FPs</t>
        </is>
      </c>
      <c r="E8" t="inlineStr">
        <is>
          <t>51V</t>
        </is>
      </c>
      <c r="F8" t="inlineStr">
        <is>
          <t>52Cr</t>
        </is>
      </c>
      <c r="G8" t="inlineStr">
        <is>
          <t>55Mn</t>
        </is>
      </c>
      <c r="H8" t="inlineStr">
        <is>
          <t>59Co</t>
        </is>
      </c>
      <c r="I8" t="inlineStr">
        <is>
          <t>60Ni</t>
        </is>
      </c>
      <c r="J8" t="inlineStr">
        <is>
          <t>63Cu</t>
        </is>
      </c>
      <c r="K8" t="inlineStr">
        <is>
          <t>66Zn</t>
        </is>
      </c>
      <c r="L8" t="inlineStr">
        <is>
          <t>75As</t>
        </is>
      </c>
      <c r="M8" t="inlineStr">
        <is>
          <t>111Cd</t>
        </is>
      </c>
      <c r="N8" t="inlineStr">
        <is>
          <t>120Sn</t>
        </is>
      </c>
      <c r="O8" t="inlineStr">
        <is>
          <t>121Sb</t>
        </is>
      </c>
      <c r="P8" t="inlineStr">
        <is>
          <t>138Ba</t>
        </is>
      </c>
      <c r="Q8" t="inlineStr">
        <is>
          <t>205Tl</t>
        </is>
      </c>
      <c r="R8" t="inlineStr">
        <is>
          <t>208Pb</t>
        </is>
      </c>
    </row>
    <row r="9">
      <c r="A9" t="inlineStr">
        <is>
          <t>CFPP2</t>
        </is>
      </c>
      <c r="B9" t="n">
        <v>0.4</v>
      </c>
      <c r="C9" t="n">
        <v>1000</v>
      </c>
      <c r="D9">
        <f>D2*$C9*60*50/($B9*0.02*150*20)</f>
        <v/>
      </c>
      <c r="E9">
        <f>E2*$C9*60*50/($B9*0.02*150*20)</f>
        <v/>
      </c>
      <c r="F9">
        <f>F2*$C9*60*50/($B9*0.02*150*20)</f>
        <v/>
      </c>
      <c r="G9">
        <f>G2*$C9*60*50/($B9*0.02*150*20)</f>
        <v/>
      </c>
      <c r="H9">
        <f>H2*$C9*60*50/($B9*0.02*150*20)</f>
        <v/>
      </c>
      <c r="I9">
        <f>I2*$C9*60*50/($B9*0.02*150*20)</f>
        <v/>
      </c>
      <c r="J9">
        <f>J2*$C9*60*50/($B9*0.02*150*20)</f>
        <v/>
      </c>
      <c r="K9">
        <f>K2*$C9*60*50/($B9*0.02*150*20)</f>
        <v/>
      </c>
      <c r="L9">
        <f>L2*$C9*60*50/($B9*0.02*150*20)</f>
        <v/>
      </c>
      <c r="M9">
        <f>M2*$C9*60*50/($B9*0.02*150*20)</f>
        <v/>
      </c>
      <c r="N9">
        <f>N2*$C9*60*50/($B9*0.02*150*20)</f>
        <v/>
      </c>
      <c r="O9">
        <f>O2*$C9*60*50/($B9*0.02*150*20)</f>
        <v/>
      </c>
      <c r="P9">
        <f>P2*$C9*60*50/($B9*0.02*150*20)</f>
        <v/>
      </c>
      <c r="Q9">
        <f>Q2*$C9*60*50/($B9*0.02*150*20)</f>
        <v/>
      </c>
      <c r="R9">
        <f>R2*$C9*60*50/($B9*0.02*150*20)</f>
        <v/>
      </c>
    </row>
    <row r="10">
      <c r="A10" t="inlineStr">
        <is>
          <t>COP11</t>
        </is>
      </c>
      <c r="B10" t="n">
        <v>0.4</v>
      </c>
      <c r="C10" t="n">
        <v>1000</v>
      </c>
      <c r="D10">
        <f>D3*$C10*60*50/($B10*0.02*150*20)</f>
        <v/>
      </c>
      <c r="E10">
        <f>E3*$C10*60*50/($B10*0.02*150*20)</f>
        <v/>
      </c>
      <c r="F10">
        <f>F3*$C10*60*50/($B10*0.02*150*20)</f>
        <v/>
      </c>
      <c r="G10">
        <f>G3*$C10*60*50/($B10*0.02*150*20)</f>
        <v/>
      </c>
      <c r="H10">
        <f>H3*$C10*60*50/($B10*0.02*150*20)</f>
        <v/>
      </c>
      <c r="I10">
        <f>I3*$C10*60*50/($B10*0.02*150*20)</f>
        <v/>
      </c>
      <c r="J10">
        <f>J3*$C10*60*50/($B10*0.02*150*20)</f>
        <v/>
      </c>
      <c r="K10">
        <f>K3*$C10*60*50/($B10*0.02*150*20)</f>
        <v/>
      </c>
      <c r="L10">
        <f>L3*$C10*60*50/($B10*0.02*150*20)</f>
        <v/>
      </c>
      <c r="M10">
        <f>M3*$C10*60*50/($B10*0.02*150*20)</f>
        <v/>
      </c>
      <c r="N10">
        <f>N3*$C10*60*50/($B10*0.02*150*20)</f>
        <v/>
      </c>
      <c r="O10">
        <f>O3*$C10*60*50/($B10*0.02*150*20)</f>
        <v/>
      </c>
      <c r="P10">
        <f>P3*$C10*60*50/($B10*0.02*150*20)</f>
        <v/>
      </c>
      <c r="Q10">
        <f>Q3*$C10*60*50/($B10*0.02*150*20)</f>
        <v/>
      </c>
      <c r="R10">
        <f>R3*$C10*60*50/($B10*0.02*150*20)</f>
        <v/>
      </c>
    </row>
    <row r="11">
      <c r="A11" t="inlineStr">
        <is>
          <t>EAF10</t>
        </is>
      </c>
      <c r="B11" t="n">
        <v>0.4</v>
      </c>
      <c r="C11" t="n">
        <v>5000</v>
      </c>
      <c r="D11">
        <f>D4*$C11*60*50/($B11*0.02*150*20)</f>
        <v/>
      </c>
      <c r="E11">
        <f>E4*$C11*60*50/($B11*0.02*150*20)</f>
        <v/>
      </c>
      <c r="F11">
        <f>F4*$C11*60*50/($B11*0.02*150*20)</f>
        <v/>
      </c>
      <c r="G11">
        <f>G4*$C11*60*50/($B11*0.02*150*20)</f>
        <v/>
      </c>
      <c r="H11">
        <f>H4*$C11*60*50/($B11*0.02*150*20)</f>
        <v/>
      </c>
      <c r="I11">
        <f>I4*$C11*60*50/($B11*0.02*150*20)</f>
        <v/>
      </c>
      <c r="J11">
        <f>J4*$C11*60*50/($B11*0.02*150*20)</f>
        <v/>
      </c>
      <c r="K11">
        <f>K4*$C11*60*50/($B11*0.02*150*20)</f>
        <v/>
      </c>
      <c r="L11">
        <f>L4*$C11*60*50/($B11*0.02*150*20)</f>
        <v/>
      </c>
      <c r="M11">
        <f>M4*$C11*60*50/($B11*0.02*150*20)</f>
        <v/>
      </c>
      <c r="N11">
        <f>N4*$C11*60*50/($B11*0.02*150*20)</f>
        <v/>
      </c>
      <c r="O11">
        <f>O4*$C11*60*50/($B11*0.02*150*20)</f>
        <v/>
      </c>
      <c r="P11">
        <f>P4*$C11*60*50/($B11*0.02*150*20)</f>
        <v/>
      </c>
      <c r="Q11">
        <f>Q4*$C11*60*50/($B11*0.02*150*20)</f>
        <v/>
      </c>
      <c r="R11">
        <f>R4*$C11*60*50/($B11*0.02*150*20)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TE</t>
        </is>
      </c>
      <c r="C1" t="inlineStr">
        <is>
          <t>Dilutionfactor</t>
        </is>
      </c>
      <c r="D1" t="inlineStr">
        <is>
          <t>Total0.1-0.4FPs</t>
        </is>
      </c>
      <c r="E1" t="inlineStr">
        <is>
          <t>51V</t>
        </is>
      </c>
      <c r="F1" t="inlineStr">
        <is>
          <t>52Cr</t>
        </is>
      </c>
      <c r="G1" t="inlineStr">
        <is>
          <t>55Mn</t>
        </is>
      </c>
      <c r="H1" t="inlineStr">
        <is>
          <t>59Co</t>
        </is>
      </c>
      <c r="I1" t="inlineStr">
        <is>
          <t>60Ni</t>
        </is>
      </c>
      <c r="J1" t="inlineStr">
        <is>
          <t>63Cu</t>
        </is>
      </c>
      <c r="K1" t="inlineStr">
        <is>
          <t>66Zn</t>
        </is>
      </c>
      <c r="L1" t="inlineStr">
        <is>
          <t>75As</t>
        </is>
      </c>
      <c r="M1" t="inlineStr">
        <is>
          <t>111Cd</t>
        </is>
      </c>
      <c r="N1" t="inlineStr">
        <is>
          <t>120Sn</t>
        </is>
      </c>
      <c r="O1" t="inlineStr">
        <is>
          <t>121Sb</t>
        </is>
      </c>
      <c r="P1" t="inlineStr">
        <is>
          <t>138Ba</t>
        </is>
      </c>
      <c r="Q1" t="inlineStr">
        <is>
          <t>205Tl</t>
        </is>
      </c>
      <c r="R1" t="inlineStr">
        <is>
          <t>208Pb</t>
        </is>
      </c>
    </row>
    <row r="2">
      <c r="A2" t="inlineStr">
        <is>
          <t>CFPP2</t>
        </is>
      </c>
      <c r="B2" t="n">
        <v>0.4</v>
      </c>
      <c r="C2" t="n">
        <v>1000</v>
      </c>
      <c r="D2" t="n">
        <v>38</v>
      </c>
      <c r="E2" t="n">
        <v>1</v>
      </c>
      <c r="F2" t="n">
        <v>4</v>
      </c>
      <c r="G2" t="n">
        <v>10</v>
      </c>
      <c r="H2" t="n">
        <v>0</v>
      </c>
      <c r="I2" t="n">
        <v>0</v>
      </c>
      <c r="J2" t="n">
        <v>1</v>
      </c>
      <c r="K2" t="n">
        <v>3</v>
      </c>
      <c r="L2" t="n">
        <v>0</v>
      </c>
      <c r="M2" t="n">
        <v>0</v>
      </c>
      <c r="N2" t="n">
        <v>0</v>
      </c>
      <c r="O2" t="n">
        <v>0</v>
      </c>
      <c r="P2" t="n">
        <v>16</v>
      </c>
      <c r="Q2" t="n">
        <v>0</v>
      </c>
      <c r="R2" t="n">
        <v>3</v>
      </c>
    </row>
    <row r="3">
      <c r="A3" t="inlineStr">
        <is>
          <t>COP11</t>
        </is>
      </c>
      <c r="B3" t="n">
        <v>0.4</v>
      </c>
      <c r="C3" t="n">
        <v>1000</v>
      </c>
      <c r="D3" t="n">
        <v>45</v>
      </c>
      <c r="E3" t="n">
        <v>0</v>
      </c>
      <c r="F3" t="n">
        <v>0</v>
      </c>
      <c r="G3" t="n">
        <v>4</v>
      </c>
      <c r="H3" t="n">
        <v>0</v>
      </c>
      <c r="I3" t="n">
        <v>0</v>
      </c>
      <c r="J3" t="n">
        <v>0</v>
      </c>
      <c r="K3" t="n">
        <v>6</v>
      </c>
      <c r="L3" t="n">
        <v>0</v>
      </c>
      <c r="M3" t="n">
        <v>0</v>
      </c>
      <c r="N3" t="n">
        <v>3</v>
      </c>
      <c r="O3" t="n">
        <v>1</v>
      </c>
      <c r="P3" t="n">
        <v>3</v>
      </c>
      <c r="Q3" t="n">
        <v>0</v>
      </c>
      <c r="R3" t="n">
        <v>28</v>
      </c>
    </row>
    <row r="4">
      <c r="A4" t="inlineStr">
        <is>
          <t>EAF10</t>
        </is>
      </c>
      <c r="B4" t="n">
        <v>0.4</v>
      </c>
      <c r="C4" t="n">
        <v>5000</v>
      </c>
      <c r="D4" t="n">
        <v>239</v>
      </c>
      <c r="E4" t="n">
        <v>0</v>
      </c>
      <c r="F4" t="n">
        <v>9</v>
      </c>
      <c r="G4" t="n">
        <v>143</v>
      </c>
      <c r="H4" t="n">
        <v>0</v>
      </c>
      <c r="I4" t="n">
        <v>0</v>
      </c>
      <c r="J4" t="n">
        <v>0</v>
      </c>
      <c r="K4" t="n">
        <v>83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3</v>
      </c>
    </row>
    <row r="6">
      <c r="A6" t="inlineStr">
        <is>
          <t>PNCs(particles/mg)</t>
        </is>
      </c>
    </row>
    <row r="8">
      <c r="A8" t="inlineStr">
        <is>
          <t>sampleID</t>
        </is>
      </c>
      <c r="B8" t="inlineStr">
        <is>
          <t>TE</t>
        </is>
      </c>
      <c r="C8" t="inlineStr">
        <is>
          <t>Dilutionfactor</t>
        </is>
      </c>
      <c r="D8" t="inlineStr">
        <is>
          <t>Total0.1-0.4FPs</t>
        </is>
      </c>
      <c r="E8" t="inlineStr">
        <is>
          <t>51V</t>
        </is>
      </c>
      <c r="F8" t="inlineStr">
        <is>
          <t>52Cr</t>
        </is>
      </c>
      <c r="G8" t="inlineStr">
        <is>
          <t>55Mn</t>
        </is>
      </c>
      <c r="H8" t="inlineStr">
        <is>
          <t>59Co</t>
        </is>
      </c>
      <c r="I8" t="inlineStr">
        <is>
          <t>60Ni</t>
        </is>
      </c>
      <c r="J8" t="inlineStr">
        <is>
          <t>63Cu</t>
        </is>
      </c>
      <c r="K8" t="inlineStr">
        <is>
          <t>66Zn</t>
        </is>
      </c>
      <c r="L8" t="inlineStr">
        <is>
          <t>75As</t>
        </is>
      </c>
      <c r="M8" t="inlineStr">
        <is>
          <t>111Cd</t>
        </is>
      </c>
      <c r="N8" t="inlineStr">
        <is>
          <t>120Sn</t>
        </is>
      </c>
      <c r="O8" t="inlineStr">
        <is>
          <t>121Sb</t>
        </is>
      </c>
      <c r="P8" t="inlineStr">
        <is>
          <t>138Ba</t>
        </is>
      </c>
      <c r="Q8" t="inlineStr">
        <is>
          <t>205Tl</t>
        </is>
      </c>
      <c r="R8" t="inlineStr">
        <is>
          <t>208Pb</t>
        </is>
      </c>
    </row>
    <row r="9">
      <c r="A9" t="inlineStr">
        <is>
          <t>CFPP2</t>
        </is>
      </c>
      <c r="B9" t="n">
        <v>0.4</v>
      </c>
      <c r="C9" t="n">
        <v>1000</v>
      </c>
      <c r="D9">
        <f>D2*$C9*60*50/($B9*0.02*150*20)</f>
        <v/>
      </c>
      <c r="E9">
        <f>E2*$C9*60*50/($B9*0.02*150*20)</f>
        <v/>
      </c>
      <c r="F9">
        <f>F2*$C9*60*50/($B9*0.02*150*20)</f>
        <v/>
      </c>
      <c r="G9">
        <f>G2*$C9*60*50/($B9*0.02*150*20)</f>
        <v/>
      </c>
      <c r="H9">
        <f>H2*$C9*60*50/($B9*0.02*150*20)</f>
        <v/>
      </c>
      <c r="I9">
        <f>I2*$C9*60*50/($B9*0.02*150*20)</f>
        <v/>
      </c>
      <c r="J9">
        <f>J2*$C9*60*50/($B9*0.02*150*20)</f>
        <v/>
      </c>
      <c r="K9">
        <f>K2*$C9*60*50/($B9*0.02*150*20)</f>
        <v/>
      </c>
      <c r="L9">
        <f>L2*$C9*60*50/($B9*0.02*150*20)</f>
        <v/>
      </c>
      <c r="M9">
        <f>M2*$C9*60*50/($B9*0.02*150*20)</f>
        <v/>
      </c>
      <c r="N9">
        <f>N2*$C9*60*50/($B9*0.02*150*20)</f>
        <v/>
      </c>
      <c r="O9">
        <f>O2*$C9*60*50/($B9*0.02*150*20)</f>
        <v/>
      </c>
      <c r="P9">
        <f>P2*$C9*60*50/($B9*0.02*150*20)</f>
        <v/>
      </c>
      <c r="Q9">
        <f>Q2*$C9*60*50/($B9*0.02*150*20)</f>
        <v/>
      </c>
      <c r="R9">
        <f>R2*$C9*60*50/($B9*0.02*150*20)</f>
        <v/>
      </c>
    </row>
    <row r="10">
      <c r="A10" t="inlineStr">
        <is>
          <t>COP11</t>
        </is>
      </c>
      <c r="B10" t="n">
        <v>0.4</v>
      </c>
      <c r="C10" t="n">
        <v>1000</v>
      </c>
      <c r="D10">
        <f>D3*$C10*60*50/($B10*0.02*150*20)</f>
        <v/>
      </c>
      <c r="E10">
        <f>E3*$C10*60*50/($B10*0.02*150*20)</f>
        <v/>
      </c>
      <c r="F10">
        <f>F3*$C10*60*50/($B10*0.02*150*20)</f>
        <v/>
      </c>
      <c r="G10">
        <f>G3*$C10*60*50/($B10*0.02*150*20)</f>
        <v/>
      </c>
      <c r="H10">
        <f>H3*$C10*60*50/($B10*0.02*150*20)</f>
        <v/>
      </c>
      <c r="I10">
        <f>I3*$C10*60*50/($B10*0.02*150*20)</f>
        <v/>
      </c>
      <c r="J10">
        <f>J3*$C10*60*50/($B10*0.02*150*20)</f>
        <v/>
      </c>
      <c r="K10">
        <f>K3*$C10*60*50/($B10*0.02*150*20)</f>
        <v/>
      </c>
      <c r="L10">
        <f>L3*$C10*60*50/($B10*0.02*150*20)</f>
        <v/>
      </c>
      <c r="M10">
        <f>M3*$C10*60*50/($B10*0.02*150*20)</f>
        <v/>
      </c>
      <c r="N10">
        <f>N3*$C10*60*50/($B10*0.02*150*20)</f>
        <v/>
      </c>
      <c r="O10">
        <f>O3*$C10*60*50/($B10*0.02*150*20)</f>
        <v/>
      </c>
      <c r="P10">
        <f>P3*$C10*60*50/($B10*0.02*150*20)</f>
        <v/>
      </c>
      <c r="Q10">
        <f>Q3*$C10*60*50/($B10*0.02*150*20)</f>
        <v/>
      </c>
      <c r="R10">
        <f>R3*$C10*60*50/($B10*0.02*150*20)</f>
        <v/>
      </c>
    </row>
    <row r="11">
      <c r="A11" t="inlineStr">
        <is>
          <t>EAF10</t>
        </is>
      </c>
      <c r="B11" t="n">
        <v>0.4</v>
      </c>
      <c r="C11" t="n">
        <v>5000</v>
      </c>
      <c r="D11">
        <f>D4*$C11*60*50/($B11*0.02*150*20)</f>
        <v/>
      </c>
      <c r="E11">
        <f>E4*$C11*60*50/($B11*0.02*150*20)</f>
        <v/>
      </c>
      <c r="F11">
        <f>F4*$C11*60*50/($B11*0.02*150*20)</f>
        <v/>
      </c>
      <c r="G11">
        <f>G4*$C11*60*50/($B11*0.02*150*20)</f>
        <v/>
      </c>
      <c r="H11">
        <f>H4*$C11*60*50/($B11*0.02*150*20)</f>
        <v/>
      </c>
      <c r="I11">
        <f>I4*$C11*60*50/($B11*0.02*150*20)</f>
        <v/>
      </c>
      <c r="J11">
        <f>J4*$C11*60*50/($B11*0.02*150*20)</f>
        <v/>
      </c>
      <c r="K11">
        <f>K4*$C11*60*50/($B11*0.02*150*20)</f>
        <v/>
      </c>
      <c r="L11">
        <f>L4*$C11*60*50/($B11*0.02*150*20)</f>
        <v/>
      </c>
      <c r="M11">
        <f>M4*$C11*60*50/($B11*0.02*150*20)</f>
        <v/>
      </c>
      <c r="N11">
        <f>N4*$C11*60*50/($B11*0.02*150*20)</f>
        <v/>
      </c>
      <c r="O11">
        <f>O4*$C11*60*50/($B11*0.02*150*20)</f>
        <v/>
      </c>
      <c r="P11">
        <f>P4*$C11*60*50/($B11*0.02*150*20)</f>
        <v/>
      </c>
      <c r="Q11">
        <f>Q4*$C11*60*50/($B11*0.02*150*20)</f>
        <v/>
      </c>
      <c r="R11">
        <f>R4*$C11*60*50/($B11*0.02*150*20)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TE</t>
        </is>
      </c>
      <c r="C1" t="inlineStr">
        <is>
          <t>Dilutionfactor</t>
        </is>
      </c>
      <c r="D1" t="inlineStr">
        <is>
          <t>Total0.4-1FPs</t>
        </is>
      </c>
      <c r="E1" t="inlineStr">
        <is>
          <t>51V</t>
        </is>
      </c>
      <c r="F1" t="inlineStr">
        <is>
          <t>52Cr</t>
        </is>
      </c>
      <c r="G1" t="inlineStr">
        <is>
          <t>55Mn</t>
        </is>
      </c>
      <c r="H1" t="inlineStr">
        <is>
          <t>59Co</t>
        </is>
      </c>
      <c r="I1" t="inlineStr">
        <is>
          <t>60Ni</t>
        </is>
      </c>
      <c r="J1" t="inlineStr">
        <is>
          <t>63Cu</t>
        </is>
      </c>
      <c r="K1" t="inlineStr">
        <is>
          <t>66Zn</t>
        </is>
      </c>
      <c r="L1" t="inlineStr">
        <is>
          <t>75As</t>
        </is>
      </c>
      <c r="M1" t="inlineStr">
        <is>
          <t>111Cd</t>
        </is>
      </c>
      <c r="N1" t="inlineStr">
        <is>
          <t>120Sn</t>
        </is>
      </c>
      <c r="O1" t="inlineStr">
        <is>
          <t>121Sb</t>
        </is>
      </c>
      <c r="P1" t="inlineStr">
        <is>
          <t>138Ba</t>
        </is>
      </c>
      <c r="Q1" t="inlineStr">
        <is>
          <t>205Tl</t>
        </is>
      </c>
      <c r="R1" t="inlineStr">
        <is>
          <t>208Pb</t>
        </is>
      </c>
    </row>
    <row r="2">
      <c r="A2" t="inlineStr">
        <is>
          <t>CFPP2</t>
        </is>
      </c>
      <c r="B2" t="n">
        <v>0.4</v>
      </c>
      <c r="C2" t="n">
        <v>1000</v>
      </c>
      <c r="D2" t="n">
        <v>11</v>
      </c>
      <c r="E2" t="n">
        <v>0</v>
      </c>
      <c r="F2" t="n">
        <v>1</v>
      </c>
      <c r="G2" t="n">
        <v>8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COP11</t>
        </is>
      </c>
      <c r="B3" t="n">
        <v>0.4</v>
      </c>
      <c r="C3" t="n">
        <v>1000</v>
      </c>
      <c r="D3" t="n">
        <v>29</v>
      </c>
      <c r="E3" t="n">
        <v>0</v>
      </c>
      <c r="F3" t="n">
        <v>1</v>
      </c>
      <c r="G3" t="n">
        <v>4</v>
      </c>
      <c r="H3" t="n">
        <v>0</v>
      </c>
      <c r="I3" t="n">
        <v>1</v>
      </c>
      <c r="J3" t="n">
        <v>0</v>
      </c>
      <c r="K3" t="n">
        <v>13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9</v>
      </c>
    </row>
    <row r="4">
      <c r="A4" t="inlineStr">
        <is>
          <t>EAF10</t>
        </is>
      </c>
      <c r="B4" t="n">
        <v>0.4</v>
      </c>
      <c r="C4" t="n">
        <v>5000</v>
      </c>
      <c r="D4" t="n">
        <v>173</v>
      </c>
      <c r="E4" t="n">
        <v>0</v>
      </c>
      <c r="F4" t="n">
        <v>2</v>
      </c>
      <c r="G4" t="n">
        <v>25</v>
      </c>
      <c r="H4" t="n">
        <v>0</v>
      </c>
      <c r="I4" t="n">
        <v>0</v>
      </c>
      <c r="J4" t="n">
        <v>1</v>
      </c>
      <c r="K4" t="n">
        <v>145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6">
      <c r="A6" t="inlineStr">
        <is>
          <t>PNCs(particles/mg)</t>
        </is>
      </c>
    </row>
    <row r="8">
      <c r="A8" t="inlineStr">
        <is>
          <t>sampleID</t>
        </is>
      </c>
      <c r="B8" t="inlineStr">
        <is>
          <t>TE</t>
        </is>
      </c>
      <c r="C8" t="inlineStr">
        <is>
          <t>Dilutionfactor</t>
        </is>
      </c>
      <c r="D8" t="inlineStr">
        <is>
          <t>Total0.4-1FPs</t>
        </is>
      </c>
      <c r="E8" t="inlineStr">
        <is>
          <t>51V</t>
        </is>
      </c>
      <c r="F8" t="inlineStr">
        <is>
          <t>52Cr</t>
        </is>
      </c>
      <c r="G8" t="inlineStr">
        <is>
          <t>55Mn</t>
        </is>
      </c>
      <c r="H8" t="inlineStr">
        <is>
          <t>59Co</t>
        </is>
      </c>
      <c r="I8" t="inlineStr">
        <is>
          <t>60Ni</t>
        </is>
      </c>
      <c r="J8" t="inlineStr">
        <is>
          <t>63Cu</t>
        </is>
      </c>
      <c r="K8" t="inlineStr">
        <is>
          <t>66Zn</t>
        </is>
      </c>
      <c r="L8" t="inlineStr">
        <is>
          <t>75As</t>
        </is>
      </c>
      <c r="M8" t="inlineStr">
        <is>
          <t>111Cd</t>
        </is>
      </c>
      <c r="N8" t="inlineStr">
        <is>
          <t>120Sn</t>
        </is>
      </c>
      <c r="O8" t="inlineStr">
        <is>
          <t>121Sb</t>
        </is>
      </c>
      <c r="P8" t="inlineStr">
        <is>
          <t>138Ba</t>
        </is>
      </c>
      <c r="Q8" t="inlineStr">
        <is>
          <t>205Tl</t>
        </is>
      </c>
      <c r="R8" t="inlineStr">
        <is>
          <t>208Pb</t>
        </is>
      </c>
    </row>
    <row r="9">
      <c r="A9" t="inlineStr">
        <is>
          <t>CFPP2</t>
        </is>
      </c>
      <c r="B9" t="n">
        <v>0.4</v>
      </c>
      <c r="C9" t="n">
        <v>1000</v>
      </c>
      <c r="D9">
        <f>D2*$C9*60*50/($B9*0.02*150*20)</f>
        <v/>
      </c>
      <c r="E9">
        <f>E2*$C9*60*50/($B9*0.02*150*20)</f>
        <v/>
      </c>
      <c r="F9">
        <f>F2*$C9*60*50/($B9*0.02*150*20)</f>
        <v/>
      </c>
      <c r="G9">
        <f>G2*$C9*60*50/($B9*0.02*150*20)</f>
        <v/>
      </c>
      <c r="H9">
        <f>H2*$C9*60*50/($B9*0.02*150*20)</f>
        <v/>
      </c>
      <c r="I9">
        <f>I2*$C9*60*50/($B9*0.02*150*20)</f>
        <v/>
      </c>
      <c r="J9">
        <f>J2*$C9*60*50/($B9*0.02*150*20)</f>
        <v/>
      </c>
      <c r="K9">
        <f>K2*$C9*60*50/($B9*0.02*150*20)</f>
        <v/>
      </c>
      <c r="L9">
        <f>L2*$C9*60*50/($B9*0.02*150*20)</f>
        <v/>
      </c>
      <c r="M9">
        <f>M2*$C9*60*50/($B9*0.02*150*20)</f>
        <v/>
      </c>
      <c r="N9">
        <f>N2*$C9*60*50/($B9*0.02*150*20)</f>
        <v/>
      </c>
      <c r="O9">
        <f>O2*$C9*60*50/($B9*0.02*150*20)</f>
        <v/>
      </c>
      <c r="P9">
        <f>P2*$C9*60*50/($B9*0.02*150*20)</f>
        <v/>
      </c>
      <c r="Q9">
        <f>Q2*$C9*60*50/($B9*0.02*150*20)</f>
        <v/>
      </c>
      <c r="R9">
        <f>R2*$C9*60*50/($B9*0.02*150*20)</f>
        <v/>
      </c>
    </row>
    <row r="10">
      <c r="A10" t="inlineStr">
        <is>
          <t>COP11</t>
        </is>
      </c>
      <c r="B10" t="n">
        <v>0.4</v>
      </c>
      <c r="C10" t="n">
        <v>1000</v>
      </c>
      <c r="D10">
        <f>D3*$C10*60*50/($B10*0.02*150*20)</f>
        <v/>
      </c>
      <c r="E10">
        <f>E3*$C10*60*50/($B10*0.02*150*20)</f>
        <v/>
      </c>
      <c r="F10">
        <f>F3*$C10*60*50/($B10*0.02*150*20)</f>
        <v/>
      </c>
      <c r="G10">
        <f>G3*$C10*60*50/($B10*0.02*150*20)</f>
        <v/>
      </c>
      <c r="H10">
        <f>H3*$C10*60*50/($B10*0.02*150*20)</f>
        <v/>
      </c>
      <c r="I10">
        <f>I3*$C10*60*50/($B10*0.02*150*20)</f>
        <v/>
      </c>
      <c r="J10">
        <f>J3*$C10*60*50/($B10*0.02*150*20)</f>
        <v/>
      </c>
      <c r="K10">
        <f>K3*$C10*60*50/($B10*0.02*150*20)</f>
        <v/>
      </c>
      <c r="L10">
        <f>L3*$C10*60*50/($B10*0.02*150*20)</f>
        <v/>
      </c>
      <c r="M10">
        <f>M3*$C10*60*50/($B10*0.02*150*20)</f>
        <v/>
      </c>
      <c r="N10">
        <f>N3*$C10*60*50/($B10*0.02*150*20)</f>
        <v/>
      </c>
      <c r="O10">
        <f>O3*$C10*60*50/($B10*0.02*150*20)</f>
        <v/>
      </c>
      <c r="P10">
        <f>P3*$C10*60*50/($B10*0.02*150*20)</f>
        <v/>
      </c>
      <c r="Q10">
        <f>Q3*$C10*60*50/($B10*0.02*150*20)</f>
        <v/>
      </c>
      <c r="R10">
        <f>R3*$C10*60*50/($B10*0.02*150*20)</f>
        <v/>
      </c>
    </row>
    <row r="11">
      <c r="A11" t="inlineStr">
        <is>
          <t>EAF10</t>
        </is>
      </c>
      <c r="B11" t="n">
        <v>0.4</v>
      </c>
      <c r="C11" t="n">
        <v>5000</v>
      </c>
      <c r="D11">
        <f>D4*$C11*60*50/($B11*0.02*150*20)</f>
        <v/>
      </c>
      <c r="E11">
        <f>E4*$C11*60*50/($B11*0.02*150*20)</f>
        <v/>
      </c>
      <c r="F11">
        <f>F4*$C11*60*50/($B11*0.02*150*20)</f>
        <v/>
      </c>
      <c r="G11">
        <f>G4*$C11*60*50/($B11*0.02*150*20)</f>
        <v/>
      </c>
      <c r="H11">
        <f>H4*$C11*60*50/($B11*0.02*150*20)</f>
        <v/>
      </c>
      <c r="I11">
        <f>I4*$C11*60*50/($B11*0.02*150*20)</f>
        <v/>
      </c>
      <c r="J11">
        <f>J4*$C11*60*50/($B11*0.02*150*20)</f>
        <v/>
      </c>
      <c r="K11">
        <f>K4*$C11*60*50/($B11*0.02*150*20)</f>
        <v/>
      </c>
      <c r="L11">
        <f>L4*$C11*60*50/($B11*0.02*150*20)</f>
        <v/>
      </c>
      <c r="M11">
        <f>M4*$C11*60*50/($B11*0.02*150*20)</f>
        <v/>
      </c>
      <c r="N11">
        <f>N4*$C11*60*50/($B11*0.02*150*20)</f>
        <v/>
      </c>
      <c r="O11">
        <f>O4*$C11*60*50/($B11*0.02*150*20)</f>
        <v/>
      </c>
      <c r="P11">
        <f>P4*$C11*60*50/($B11*0.02*150*20)</f>
        <v/>
      </c>
      <c r="Q11">
        <f>Q4*$C11*60*50/($B11*0.02*150*20)</f>
        <v/>
      </c>
      <c r="R11">
        <f>R4*$C11*60*50/($B11*0.02*150*20)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CFPP2</t>
        </is>
      </c>
      <c r="C1" t="inlineStr">
        <is>
          <t>COP11</t>
        </is>
      </c>
      <c r="D1" t="inlineStr">
        <is>
          <t>EAF10</t>
        </is>
      </c>
    </row>
    <row r="2">
      <c r="A2" t="inlineStr">
        <is>
          <t>51V</t>
        </is>
      </c>
      <c r="B2" t="n">
        <v>5</v>
      </c>
      <c r="C2" t="n">
        <v>0</v>
      </c>
      <c r="D2" t="n">
        <v>0</v>
      </c>
    </row>
    <row r="3">
      <c r="A3" t="inlineStr">
        <is>
          <t>52Cr</t>
        </is>
      </c>
      <c r="B3" t="n">
        <v>7</v>
      </c>
      <c r="C3" t="n">
        <v>0</v>
      </c>
      <c r="D3" t="n">
        <v>10</v>
      </c>
    </row>
    <row r="4">
      <c r="A4" t="inlineStr">
        <is>
          <t>55Mn</t>
        </is>
      </c>
      <c r="B4" t="n">
        <v>45</v>
      </c>
      <c r="C4" t="n">
        <v>9</v>
      </c>
      <c r="D4" t="n">
        <v>43</v>
      </c>
    </row>
    <row r="5">
      <c r="A5" t="inlineStr">
        <is>
          <t>59Co</t>
        </is>
      </c>
      <c r="B5" t="n">
        <v>0</v>
      </c>
      <c r="C5" t="n">
        <v>0</v>
      </c>
      <c r="D5" t="n">
        <v>0</v>
      </c>
    </row>
    <row r="6">
      <c r="A6" t="inlineStr">
        <is>
          <t>60Ni</t>
        </is>
      </c>
      <c r="B6" t="n">
        <v>1</v>
      </c>
      <c r="C6" t="n">
        <v>1</v>
      </c>
      <c r="D6" t="n">
        <v>0</v>
      </c>
    </row>
    <row r="7">
      <c r="A7" t="inlineStr">
        <is>
          <t>63Cu</t>
        </is>
      </c>
      <c r="B7" t="n">
        <v>1</v>
      </c>
      <c r="C7" t="n">
        <v>1</v>
      </c>
      <c r="D7" t="n">
        <v>2</v>
      </c>
    </row>
    <row r="8">
      <c r="A8" t="inlineStr">
        <is>
          <t>66Zn</t>
        </is>
      </c>
      <c r="B8" t="n">
        <v>14</v>
      </c>
      <c r="C8" t="n">
        <v>17</v>
      </c>
      <c r="D8" t="n">
        <v>204</v>
      </c>
    </row>
    <row r="9">
      <c r="A9" t="inlineStr">
        <is>
          <t>75As</t>
        </is>
      </c>
      <c r="B9" t="n">
        <v>0</v>
      </c>
      <c r="C9" t="n">
        <v>0</v>
      </c>
      <c r="D9" t="n">
        <v>0</v>
      </c>
    </row>
    <row r="10">
      <c r="A10" t="inlineStr">
        <is>
          <t>111Cd</t>
        </is>
      </c>
      <c r="B10" t="n">
        <v>0</v>
      </c>
      <c r="C10" t="n">
        <v>0</v>
      </c>
      <c r="D10" t="n">
        <v>0</v>
      </c>
    </row>
    <row r="11">
      <c r="A11" t="inlineStr">
        <is>
          <t>120Sn</t>
        </is>
      </c>
      <c r="B11" t="n">
        <v>1</v>
      </c>
      <c r="C11" t="n">
        <v>2</v>
      </c>
      <c r="D11" t="n">
        <v>0</v>
      </c>
    </row>
    <row r="12">
      <c r="A12" t="inlineStr">
        <is>
          <t>121Sb</t>
        </is>
      </c>
      <c r="B12" t="n">
        <v>0</v>
      </c>
      <c r="C12" t="n">
        <v>0</v>
      </c>
      <c r="D12" t="n">
        <v>0</v>
      </c>
    </row>
    <row r="13">
      <c r="A13" t="inlineStr">
        <is>
          <t>138Ba</t>
        </is>
      </c>
      <c r="B13" t="n">
        <v>101</v>
      </c>
      <c r="C13" t="n">
        <v>8</v>
      </c>
      <c r="D13" t="n">
        <v>0</v>
      </c>
    </row>
    <row r="14">
      <c r="A14" t="inlineStr">
        <is>
          <t>205Tl</t>
        </is>
      </c>
      <c r="B14" t="n">
        <v>0</v>
      </c>
      <c r="C14" t="n">
        <v>0</v>
      </c>
      <c r="D14" t="n">
        <v>0</v>
      </c>
    </row>
    <row r="15">
      <c r="A15" t="inlineStr">
        <is>
          <t>208Pb</t>
        </is>
      </c>
      <c r="B15" t="n">
        <v>17</v>
      </c>
      <c r="C15" t="n">
        <v>49</v>
      </c>
      <c r="D15" t="n">
        <v>0</v>
      </c>
    </row>
    <row r="17">
      <c r="A17" t="inlineStr">
        <is>
          <t>PNCs(particles/mg)</t>
        </is>
      </c>
    </row>
    <row r="19">
      <c r="A19" t="inlineStr">
        <is>
          <t>Element</t>
        </is>
      </c>
      <c r="B19" t="inlineStr">
        <is>
          <t>CFPP2</t>
        </is>
      </c>
      <c r="C19" t="inlineStr">
        <is>
          <t>COP11</t>
        </is>
      </c>
      <c r="D19" t="inlineStr">
        <is>
          <t>EAF10</t>
        </is>
      </c>
    </row>
    <row r="20">
      <c r="A20" t="inlineStr">
        <is>
          <t>TE</t>
        </is>
      </c>
      <c r="B20" t="n">
        <v>0.4</v>
      </c>
      <c r="C20" t="n">
        <v>0.4</v>
      </c>
      <c r="D20" t="n">
        <v>0.4</v>
      </c>
    </row>
    <row r="21">
      <c r="A21" t="inlineStr">
        <is>
          <t>51V</t>
        </is>
      </c>
      <c r="B21">
        <f>B2*1000*60*50/(B20*0.02*150*20)</f>
        <v/>
      </c>
      <c r="C21">
        <f>C2*1000*60*50/(C20*0.02*150*20)</f>
        <v/>
      </c>
      <c r="D21">
        <f>D2*5000*60*50/(D20*0.02*150*20)</f>
        <v/>
      </c>
    </row>
    <row r="22">
      <c r="A22" t="inlineStr">
        <is>
          <t>52Cr</t>
        </is>
      </c>
      <c r="B22">
        <f>B3*1000*60*50/(B20*0.02*150*20)</f>
        <v/>
      </c>
      <c r="C22">
        <f>C3*1000*60*50/(C20*0.02*150*20)</f>
        <v/>
      </c>
      <c r="D22">
        <f>D3*5000*60*50/(D20*0.02*150*20)</f>
        <v/>
      </c>
    </row>
    <row r="23">
      <c r="A23" t="inlineStr">
        <is>
          <t>55Mn</t>
        </is>
      </c>
      <c r="B23">
        <f>B4*1000*60*50/(B20*0.02*150*20)</f>
        <v/>
      </c>
      <c r="C23">
        <f>C4*1000*60*50/(C20*0.02*150*20)</f>
        <v/>
      </c>
      <c r="D23">
        <f>D4*5000*60*50/(D20*0.02*150*20)</f>
        <v/>
      </c>
    </row>
    <row r="24">
      <c r="A24" t="inlineStr">
        <is>
          <t>59Co</t>
        </is>
      </c>
      <c r="B24">
        <f>B5*1000*60*50/(B20*0.02*150*20)</f>
        <v/>
      </c>
      <c r="C24">
        <f>C5*1000*60*50/(C20*0.02*150*20)</f>
        <v/>
      </c>
      <c r="D24">
        <f>D5*5000*60*50/(D20*0.02*150*20)</f>
        <v/>
      </c>
    </row>
    <row r="25">
      <c r="A25" t="inlineStr">
        <is>
          <t>60Ni</t>
        </is>
      </c>
      <c r="B25">
        <f>B6*1000*60*50/(B20*0.02*150*20)</f>
        <v/>
      </c>
      <c r="C25">
        <f>C6*1000*60*50/(C20*0.02*150*20)</f>
        <v/>
      </c>
      <c r="D25">
        <f>D6*5000*60*50/(D20*0.02*150*20)</f>
        <v/>
      </c>
    </row>
    <row r="26">
      <c r="A26" t="inlineStr">
        <is>
          <t>63Cu</t>
        </is>
      </c>
      <c r="B26">
        <f>B7*1000*60*50/(B20*0.02*150*20)</f>
        <v/>
      </c>
      <c r="C26">
        <f>C7*1000*60*50/(C20*0.02*150*20)</f>
        <v/>
      </c>
      <c r="D26">
        <f>D7*5000*60*50/(D20*0.02*150*20)</f>
        <v/>
      </c>
    </row>
    <row r="27">
      <c r="A27" t="inlineStr">
        <is>
          <t>66Zn</t>
        </is>
      </c>
      <c r="B27">
        <f>B8*1000*60*50/(B20*0.02*150*20)</f>
        <v/>
      </c>
      <c r="C27">
        <f>C8*1000*60*50/(C20*0.02*150*20)</f>
        <v/>
      </c>
      <c r="D27">
        <f>D8*5000*60*50/(D20*0.02*150*20)</f>
        <v/>
      </c>
    </row>
    <row r="28">
      <c r="A28" t="inlineStr">
        <is>
          <t>75As</t>
        </is>
      </c>
      <c r="B28">
        <f>B9*1000*60*50/(B20*0.02*150*20)</f>
        <v/>
      </c>
      <c r="C28">
        <f>C9*1000*60*50/(C20*0.02*150*20)</f>
        <v/>
      </c>
      <c r="D28">
        <f>D9*5000*60*50/(D20*0.02*150*20)</f>
        <v/>
      </c>
    </row>
    <row r="29">
      <c r="A29" t="inlineStr">
        <is>
          <t>111Cd</t>
        </is>
      </c>
      <c r="B29">
        <f>B10*1000*60*50/(B20*0.02*150*20)</f>
        <v/>
      </c>
      <c r="C29">
        <f>C10*1000*60*50/(C20*0.02*150*20)</f>
        <v/>
      </c>
      <c r="D29">
        <f>D10*5000*60*50/(D20*0.02*150*20)</f>
        <v/>
      </c>
    </row>
    <row r="30">
      <c r="A30" t="inlineStr">
        <is>
          <t>120Sn</t>
        </is>
      </c>
      <c r="B30">
        <f>B11*1000*60*50/(B20*0.02*150*20)</f>
        <v/>
      </c>
      <c r="C30">
        <f>C11*1000*60*50/(C20*0.02*150*20)</f>
        <v/>
      </c>
      <c r="D30">
        <f>D11*5000*60*50/(D20*0.02*150*20)</f>
        <v/>
      </c>
    </row>
    <row r="31">
      <c r="A31" t="inlineStr">
        <is>
          <t>121Sb</t>
        </is>
      </c>
      <c r="B31">
        <f>B12*1000*60*50/(B20*0.02*150*20)</f>
        <v/>
      </c>
      <c r="C31">
        <f>C12*1000*60*50/(C20*0.02*150*20)</f>
        <v/>
      </c>
      <c r="D31">
        <f>D12*5000*60*50/(D20*0.02*150*20)</f>
        <v/>
      </c>
    </row>
    <row r="32">
      <c r="A32" t="inlineStr">
        <is>
          <t>138Ba</t>
        </is>
      </c>
      <c r="B32">
        <f>B13*1000*60*50/(B20*0.02*150*20)</f>
        <v/>
      </c>
      <c r="C32">
        <f>C13*1000*60*50/(C20*0.02*150*20)</f>
        <v/>
      </c>
      <c r="D32">
        <f>D13*5000*60*50/(D20*0.02*150*20)</f>
        <v/>
      </c>
    </row>
    <row r="33">
      <c r="A33" t="inlineStr">
        <is>
          <t>205Tl</t>
        </is>
      </c>
      <c r="B33">
        <f>B14*1000*60*50/(B20*0.02*150*20)</f>
        <v/>
      </c>
      <c r="C33">
        <f>C14*1000*60*50/(C20*0.02*150*20)</f>
        <v/>
      </c>
      <c r="D33">
        <f>D14*5000*60*50/(D20*0.02*150*20)</f>
        <v/>
      </c>
    </row>
    <row r="34">
      <c r="A34" t="inlineStr">
        <is>
          <t>208Pb</t>
        </is>
      </c>
      <c r="B34">
        <f>B15*1000*60*50/(B20*0.02*150*20)</f>
        <v/>
      </c>
      <c r="C34">
        <f>C15*1000*60*50/(C20*0.02*150*20)</f>
        <v/>
      </c>
      <c r="D34">
        <f>D15*5000*60*50/(D20*0.02*150*20)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2026-07-10T02:31:37Z</dcterms:created>
  <dcterms:modified xmlns:dcterms="http://purl.org/dc/terms/" xmlns:xsi="http://www.w3.org/2001/XMLSchema-instance" xsi:type="dcterms:W3CDTF">2026-07-10T02:31:37Z</dcterms:modified>
</cp:coreProperties>
</file>